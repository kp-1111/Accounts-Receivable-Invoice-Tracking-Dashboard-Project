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rupali patel\Downloads\"/>
    </mc:Choice>
  </mc:AlternateContent>
  <xr:revisionPtr revIDLastSave="0" documentId="8_{B9DF47E1-0420-475A-A338-D8E4AE0C2942}" xr6:coauthVersionLast="47" xr6:coauthVersionMax="47" xr10:uidLastSave="{00000000-0000-0000-0000-000000000000}"/>
  <bookViews>
    <workbookView xWindow="-110" yWindow="-110" windowWidth="19420" windowHeight="10300" activeTab="1" xr2:uid="{6D82265F-4C25-4264-B531-A4F0B3788405}"/>
  </bookViews>
  <sheets>
    <sheet name="Invoices" sheetId="1" r:id="rId1"/>
    <sheet name="Dashboard" sheetId="2" r:id="rId2"/>
    <sheet name="Summary" sheetId="3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  <c r="B2" i="2"/>
  <c r="B4" i="3"/>
  <c r="B3" i="3"/>
  <c r="B2" i="3"/>
  <c r="B1" i="3"/>
  <c r="G37" i="1"/>
  <c r="H3" i="1"/>
  <c r="I3" i="1" s="1"/>
  <c r="H7" i="1"/>
  <c r="I7" i="1" s="1"/>
  <c r="H8" i="1"/>
  <c r="I8" i="1" s="1"/>
  <c r="H11" i="1"/>
  <c r="I11" i="1" s="1"/>
  <c r="H15" i="1"/>
  <c r="I15" i="1" s="1"/>
  <c r="H16" i="1"/>
  <c r="I16" i="1" s="1"/>
  <c r="H19" i="1"/>
  <c r="I19" i="1" s="1"/>
  <c r="H20" i="1"/>
  <c r="I20" i="1" s="1"/>
  <c r="H23" i="1"/>
  <c r="I23" i="1" s="1"/>
  <c r="H24" i="1"/>
  <c r="I24" i="1" s="1"/>
  <c r="H27" i="1"/>
  <c r="I27" i="1" s="1"/>
  <c r="H28" i="1"/>
  <c r="I28" i="1" s="1"/>
  <c r="H31" i="1"/>
  <c r="I31" i="1" s="1"/>
  <c r="H32" i="1"/>
  <c r="I32" i="1" s="1"/>
  <c r="H35" i="1"/>
  <c r="I35" i="1" s="1"/>
  <c r="H36" i="1"/>
  <c r="I36" i="1" s="1"/>
  <c r="H39" i="1"/>
  <c r="I39" i="1" s="1"/>
  <c r="H40" i="1"/>
  <c r="I40" i="1" s="1"/>
  <c r="H43" i="1"/>
  <c r="I43" i="1" s="1"/>
  <c r="H44" i="1"/>
  <c r="I44" i="1" s="1"/>
  <c r="H47" i="1"/>
  <c r="I47" i="1" s="1"/>
  <c r="H48" i="1"/>
  <c r="I48" i="1" s="1"/>
  <c r="H51" i="1"/>
  <c r="I51" i="1" s="1"/>
  <c r="G12" i="1"/>
  <c r="H12" i="1" s="1"/>
  <c r="I12" i="1" s="1"/>
  <c r="G5" i="1"/>
  <c r="H5" i="1" s="1"/>
  <c r="I5" i="1" s="1"/>
  <c r="G3" i="1"/>
  <c r="G2" i="1"/>
  <c r="H2" i="1" s="1"/>
  <c r="I2" i="1" s="1"/>
  <c r="G4" i="1"/>
  <c r="H4" i="1" s="1"/>
  <c r="I4" i="1" s="1"/>
  <c r="G6" i="1"/>
  <c r="H6" i="1" s="1"/>
  <c r="I6" i="1" s="1"/>
  <c r="G7" i="1"/>
  <c r="G8" i="1"/>
  <c r="G9" i="1"/>
  <c r="H9" i="1" s="1"/>
  <c r="I9" i="1" s="1"/>
  <c r="G10" i="1"/>
  <c r="H10" i="1" s="1"/>
  <c r="I10" i="1" s="1"/>
  <c r="G11" i="1"/>
  <c r="G13" i="1"/>
  <c r="H13" i="1" s="1"/>
  <c r="I13" i="1" s="1"/>
  <c r="G14" i="1"/>
  <c r="H14" i="1" s="1"/>
  <c r="I14" i="1" s="1"/>
  <c r="G15" i="1"/>
  <c r="G16" i="1"/>
  <c r="G17" i="1"/>
  <c r="H17" i="1" s="1"/>
  <c r="I17" i="1" s="1"/>
  <c r="G18" i="1"/>
  <c r="H18" i="1" s="1"/>
  <c r="I18" i="1" s="1"/>
  <c r="G19" i="1"/>
  <c r="G20" i="1"/>
  <c r="G21" i="1"/>
  <c r="H21" i="1" s="1"/>
  <c r="I21" i="1" s="1"/>
  <c r="G22" i="1"/>
  <c r="H22" i="1" s="1"/>
  <c r="I22" i="1" s="1"/>
  <c r="G23" i="1"/>
  <c r="G24" i="1"/>
  <c r="G25" i="1"/>
  <c r="H25" i="1" s="1"/>
  <c r="I25" i="1" s="1"/>
  <c r="G26" i="1"/>
  <c r="H26" i="1" s="1"/>
  <c r="I26" i="1" s="1"/>
  <c r="G27" i="1"/>
  <c r="G28" i="1"/>
  <c r="G29" i="1"/>
  <c r="H29" i="1" s="1"/>
  <c r="I29" i="1" s="1"/>
  <c r="G30" i="1"/>
  <c r="H30" i="1" s="1"/>
  <c r="I30" i="1" s="1"/>
  <c r="G31" i="1"/>
  <c r="G32" i="1"/>
  <c r="G33" i="1"/>
  <c r="H33" i="1" s="1"/>
  <c r="I33" i="1" s="1"/>
  <c r="G34" i="1"/>
  <c r="H34" i="1" s="1"/>
  <c r="I34" i="1" s="1"/>
  <c r="G35" i="1"/>
  <c r="G36" i="1"/>
  <c r="H37" i="1"/>
  <c r="I37" i="1" s="1"/>
  <c r="G38" i="1"/>
  <c r="H38" i="1" s="1"/>
  <c r="I38" i="1" s="1"/>
  <c r="G39" i="1"/>
  <c r="G40" i="1"/>
  <c r="G41" i="1"/>
  <c r="H41" i="1" s="1"/>
  <c r="I41" i="1" s="1"/>
  <c r="G42" i="1"/>
  <c r="H42" i="1" s="1"/>
  <c r="I42" i="1" s="1"/>
  <c r="G43" i="1"/>
  <c r="G44" i="1"/>
  <c r="G45" i="1"/>
  <c r="H45" i="1" s="1"/>
  <c r="I45" i="1" s="1"/>
  <c r="G46" i="1"/>
  <c r="H46" i="1" s="1"/>
  <c r="I46" i="1" s="1"/>
  <c r="G47" i="1"/>
  <c r="G48" i="1"/>
  <c r="G49" i="1"/>
  <c r="H49" i="1" s="1"/>
  <c r="I49" i="1" s="1"/>
  <c r="G50" i="1"/>
  <c r="H50" i="1" s="1"/>
  <c r="I50" i="1" s="1"/>
  <c r="G51" i="1"/>
  <c r="B7" i="3" l="1"/>
  <c r="B4" i="2" s="1"/>
  <c r="B6" i="3"/>
  <c r="B9" i="2" s="1"/>
  <c r="B5" i="3"/>
  <c r="B3" i="2" s="1"/>
  <c r="B11" i="2" l="1"/>
  <c r="B10" i="2"/>
</calcChain>
</file>

<file path=xl/sharedStrings.xml><?xml version="1.0" encoding="utf-8"?>
<sst xmlns="http://schemas.openxmlformats.org/spreadsheetml/2006/main" count="139" uniqueCount="126">
  <si>
    <t>Invoice ID</t>
  </si>
  <si>
    <t>Invoice Date</t>
  </si>
  <si>
    <t>Amount Paid</t>
  </si>
  <si>
    <t xml:space="preserve">Balance </t>
  </si>
  <si>
    <t xml:space="preserve">Status </t>
  </si>
  <si>
    <t>Days Overdue</t>
  </si>
  <si>
    <t>INV1001</t>
  </si>
  <si>
    <t>ABC Manufacturing</t>
  </si>
  <si>
    <t>INV1002</t>
  </si>
  <si>
    <t>Vertex Components</t>
  </si>
  <si>
    <t>INV1003</t>
  </si>
  <si>
    <t>Maple Industrial</t>
  </si>
  <si>
    <t>INV1004</t>
  </si>
  <si>
    <t>NorthStar Supplies</t>
  </si>
  <si>
    <t>INV1005</t>
  </si>
  <si>
    <t>Titan Equipment</t>
  </si>
  <si>
    <t>INV1006</t>
  </si>
  <si>
    <t>Prime Logistics</t>
  </si>
  <si>
    <t>INV1007</t>
  </si>
  <si>
    <t>Horizon Metals</t>
  </si>
  <si>
    <t>INV1008</t>
  </si>
  <si>
    <t>Delta Components</t>
  </si>
  <si>
    <t>INV1009</t>
  </si>
  <si>
    <t>Apex Packaging</t>
  </si>
  <si>
    <t>INV1010</t>
  </si>
  <si>
    <t>Sterling Industries</t>
  </si>
  <si>
    <t>Customer Name</t>
  </si>
  <si>
    <t>Due Date</t>
  </si>
  <si>
    <t>Invoice Amount</t>
  </si>
  <si>
    <t>INV1011</t>
  </si>
  <si>
    <t>Orion Manufacturing</t>
  </si>
  <si>
    <t>INV1012</t>
  </si>
  <si>
    <t>Summit Plastics</t>
  </si>
  <si>
    <t>INV1013</t>
  </si>
  <si>
    <t>NovaTech Solutions</t>
  </si>
  <si>
    <t>INV1014</t>
  </si>
  <si>
    <t>GreenLine Packaging</t>
  </si>
  <si>
    <t>INV1015</t>
  </si>
  <si>
    <t>Elite Industrial</t>
  </si>
  <si>
    <t>INV1016</t>
  </si>
  <si>
    <t>Precision Metals</t>
  </si>
  <si>
    <t>INV1017</t>
  </si>
  <si>
    <t>Falcon Parts</t>
  </si>
  <si>
    <t>INV1018</t>
  </si>
  <si>
    <t>WestCore Logistics</t>
  </si>
  <si>
    <t>INV1019</t>
  </si>
  <si>
    <t>Metro Components</t>
  </si>
  <si>
    <t>INV1020</t>
  </si>
  <si>
    <t>Pioneer Supply</t>
  </si>
  <si>
    <t>INV1021</t>
  </si>
  <si>
    <t>Unity Fabrication</t>
  </si>
  <si>
    <t>INV1022</t>
  </si>
  <si>
    <t>SilverPeak Industries</t>
  </si>
  <si>
    <t>INV1023</t>
  </si>
  <si>
    <t>Everest Tools</t>
  </si>
  <si>
    <t>INV1024</t>
  </si>
  <si>
    <t>IronGate Manufacturing</t>
  </si>
  <si>
    <t>INV1025</t>
  </si>
  <si>
    <t>BlueRock Supply</t>
  </si>
  <si>
    <t>INV1026</t>
  </si>
  <si>
    <t>CoreTech Systems</t>
  </si>
  <si>
    <t>INV1027</t>
  </si>
  <si>
    <t>Alpine Plastics</t>
  </si>
  <si>
    <t>INV1028</t>
  </si>
  <si>
    <t>UrbanEdge Components</t>
  </si>
  <si>
    <t>INV1029</t>
  </si>
  <si>
    <t>Vertex Steel</t>
  </si>
  <si>
    <t>INV1030</t>
  </si>
  <si>
    <t>Northern Machinery</t>
  </si>
  <si>
    <t>INV1031</t>
  </si>
  <si>
    <t>Cedar Industrial</t>
  </si>
  <si>
    <t>INV1032</t>
  </si>
  <si>
    <t>Quantum Supply Chain</t>
  </si>
  <si>
    <t>INV1033</t>
  </si>
  <si>
    <t>Infinity Packaging</t>
  </si>
  <si>
    <t>INV1034</t>
  </si>
  <si>
    <t>GlobalTech Manufacturing</t>
  </si>
  <si>
    <t>INV1035</t>
  </si>
  <si>
    <t>Crestline Fabricators</t>
  </si>
  <si>
    <t>INV1036</t>
  </si>
  <si>
    <t>Platinum Industrial</t>
  </si>
  <si>
    <t>INV1037</t>
  </si>
  <si>
    <t>Titan Freight</t>
  </si>
  <si>
    <t>INV1038</t>
  </si>
  <si>
    <t>Omega Components</t>
  </si>
  <si>
    <t>INV1039</t>
  </si>
  <si>
    <t>Redwood Metals</t>
  </si>
  <si>
    <t>INV1040</t>
  </si>
  <si>
    <t>Dynamic Supply</t>
  </si>
  <si>
    <t>INV1041</t>
  </si>
  <si>
    <t>Polaris Equipment</t>
  </si>
  <si>
    <t>INV1042</t>
  </si>
  <si>
    <t>Nexa Industrial</t>
  </si>
  <si>
    <t>INV1043</t>
  </si>
  <si>
    <t>Horizon Packaging</t>
  </si>
  <si>
    <t>INV1044</t>
  </si>
  <si>
    <t>Vertex Distribution</t>
  </si>
  <si>
    <t>INV1045</t>
  </si>
  <si>
    <t>IronClad Manufacturing</t>
  </si>
  <si>
    <t>INV1046</t>
  </si>
  <si>
    <t>Skyline Plastics</t>
  </si>
  <si>
    <t>INV1047</t>
  </si>
  <si>
    <t>Matrix Logistics</t>
  </si>
  <si>
    <t>INV1048</t>
  </si>
  <si>
    <t>Alpha Components</t>
  </si>
  <si>
    <t>INV1049</t>
  </si>
  <si>
    <t>Zenith Metals</t>
  </si>
  <si>
    <t>INV1050</t>
  </si>
  <si>
    <t>Evergreen Supply</t>
  </si>
  <si>
    <t>Total Invoices</t>
  </si>
  <si>
    <t xml:space="preserve">Total Invoice Amount </t>
  </si>
  <si>
    <t>Total Outstanding Balance</t>
  </si>
  <si>
    <t>Overdue Invoices</t>
  </si>
  <si>
    <t>Paid Invoices</t>
  </si>
  <si>
    <t>Pending Invoices</t>
  </si>
  <si>
    <t>Total Amount Paid</t>
  </si>
  <si>
    <t>Total Outstanding</t>
  </si>
  <si>
    <t>Total Paid</t>
  </si>
  <si>
    <t xml:space="preserve">Pending Invoices </t>
  </si>
  <si>
    <t>Paid</t>
  </si>
  <si>
    <t>Pending</t>
  </si>
  <si>
    <t>Overdue</t>
  </si>
  <si>
    <t>Invoices</t>
  </si>
  <si>
    <t>Grand Total</t>
  </si>
  <si>
    <t xml:space="preserve">Sum of Balance </t>
  </si>
  <si>
    <r>
      <rPr>
        <b/>
        <sz val="24"/>
        <color theme="1"/>
        <rFont val="Calibri"/>
        <family val="2"/>
        <scheme val="minor"/>
      </rPr>
      <t>Total Outstanding: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$86,100</t>
    </r>
    <r>
      <rPr>
        <b/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</si>
</sst>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1" formatCode="[$$-1009]#,##0.00"/>
    <numFmt numFmtId="17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0" fillId="0" borderId="0" xfId="0" applyBorder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4" fontId="0" fillId="0" borderId="1" xfId="0" applyNumberFormat="1" applyBorder="1" applyAlignment="1">
      <alignment vertical="center"/>
    </xf>
    <xf numFmtId="4" fontId="0" fillId="0" borderId="8" xfId="0" applyNumberFormat="1" applyBorder="1" applyAlignment="1">
      <alignment vertical="center"/>
    </xf>
    <xf numFmtId="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1" fontId="0" fillId="0" borderId="0" xfId="0" applyNumberFormat="1"/>
    <xf numFmtId="171" fontId="2" fillId="0" borderId="2" xfId="0" applyNumberFormat="1" applyFont="1" applyBorder="1" applyAlignment="1">
      <alignment horizontal="center" vertical="center" wrapText="1"/>
    </xf>
    <xf numFmtId="171" fontId="0" fillId="0" borderId="1" xfId="0" applyNumberFormat="1" applyBorder="1" applyAlignment="1">
      <alignment vertical="center" wrapText="1"/>
    </xf>
    <xf numFmtId="171" fontId="0" fillId="0" borderId="8" xfId="0" applyNumberFormat="1" applyBorder="1" applyAlignment="1">
      <alignment vertical="center" wrapText="1"/>
    </xf>
    <xf numFmtId="0" fontId="0" fillId="0" borderId="0" xfId="0" applyAlignment="1"/>
    <xf numFmtId="3" fontId="0" fillId="0" borderId="1" xfId="0" applyNumberFormat="1" applyBorder="1"/>
    <xf numFmtId="0" fontId="2" fillId="0" borderId="1" xfId="0" applyFont="1" applyBorder="1" applyAlignment="1">
      <alignment vertical="top"/>
    </xf>
    <xf numFmtId="175" fontId="0" fillId="0" borderId="1" xfId="1" applyNumberFormat="1" applyFont="1" applyBorder="1"/>
    <xf numFmtId="0" fontId="2" fillId="0" borderId="1" xfId="0" applyFont="1" applyFill="1" applyBorder="1"/>
    <xf numFmtId="0" fontId="2" fillId="0" borderId="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71" formatCode="[$$-1009]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[$$-1009]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Invoice Status</a:t>
            </a:r>
            <a:r>
              <a:rPr lang="en-US" baseline="0"/>
              <a:t>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CB-4E5F-9CBD-4C5A8DD066F0}"/>
              </c:ext>
            </c:extLst>
          </c:dPt>
          <c:dLbls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B7863E7-F267-449C-BA3F-129A46493FDA}" type="VALUE">
                      <a:rPr lang="en-US"/>
                      <a:pPr>
                        <a:defRPr b="1">
                          <a:ln>
                            <a:noFill/>
                          </a:ln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9CB-4E5F-9CBD-4C5A8DD066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Dashboard!$A$9:$A$11</c:f>
              <c:strCache>
                <c:ptCount val="3"/>
                <c:pt idx="0">
                  <c:v>Paid</c:v>
                </c:pt>
                <c:pt idx="1">
                  <c:v>Pending</c:v>
                </c:pt>
                <c:pt idx="2">
                  <c:v>Overdue</c:v>
                </c:pt>
              </c:strCache>
            </c:strRef>
          </c:cat>
          <c:val>
            <c:numRef>
              <c:f>Dashboard!$B$9:$B$11</c:f>
              <c:numCache>
                <c:formatCode>General</c:formatCode>
                <c:ptCount val="3"/>
                <c:pt idx="0">
                  <c:v>20</c:v>
                </c:pt>
                <c:pt idx="1">
                  <c:v>26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B-4E5F-9CBD-4C5A8DD066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 Receivable &amp; Invoice Tracking Dashboard Project.xlsx]Dashboard!PivotTable3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Outstanding</a:t>
            </a:r>
            <a:r>
              <a:rPr lang="en-US" baseline="0"/>
              <a:t> Balance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Dashboard!$A$15:$A$25</c:f>
              <c:strCache>
                <c:ptCount val="10"/>
                <c:pt idx="0">
                  <c:v>Elite Industrial</c:v>
                </c:pt>
                <c:pt idx="1">
                  <c:v>Omega Components</c:v>
                </c:pt>
                <c:pt idx="2">
                  <c:v>Everest Tools</c:v>
                </c:pt>
                <c:pt idx="3">
                  <c:v>Infinity Packaging</c:v>
                </c:pt>
                <c:pt idx="4">
                  <c:v>Apex Packaging</c:v>
                </c:pt>
                <c:pt idx="5">
                  <c:v>NovaTech Solutions</c:v>
                </c:pt>
                <c:pt idx="6">
                  <c:v>Quantum Supply Chain</c:v>
                </c:pt>
                <c:pt idx="7">
                  <c:v>SilverPeak Industries</c:v>
                </c:pt>
                <c:pt idx="8">
                  <c:v>Falcon Parts</c:v>
                </c:pt>
                <c:pt idx="9">
                  <c:v>Matrix Logistics</c:v>
                </c:pt>
              </c:strCache>
            </c:strRef>
          </c:cat>
          <c:val>
            <c:numRef>
              <c:f>Dashboard!$B$15:$B$25</c:f>
              <c:numCache>
                <c:formatCode>#,##0.00</c:formatCode>
                <c:ptCount val="10"/>
                <c:pt idx="0">
                  <c:v>3200</c:v>
                </c:pt>
                <c:pt idx="1">
                  <c:v>3300</c:v>
                </c:pt>
                <c:pt idx="2">
                  <c:v>3300</c:v>
                </c:pt>
                <c:pt idx="3">
                  <c:v>3400</c:v>
                </c:pt>
                <c:pt idx="4">
                  <c:v>3500</c:v>
                </c:pt>
                <c:pt idx="5">
                  <c:v>3600</c:v>
                </c:pt>
                <c:pt idx="6">
                  <c:v>3600</c:v>
                </c:pt>
                <c:pt idx="7">
                  <c:v>3800</c:v>
                </c:pt>
                <c:pt idx="8">
                  <c:v>4900</c:v>
                </c:pt>
                <c:pt idx="9">
                  <c:v>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1-4B8F-959E-D35AF221F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3432224"/>
        <c:axId val="863426464"/>
      </c:barChart>
      <c:catAx>
        <c:axId val="86343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426464"/>
        <c:crosses val="autoZero"/>
        <c:auto val="1"/>
        <c:lblAlgn val="ctr"/>
        <c:lblOffset val="100"/>
        <c:noMultiLvlLbl val="0"/>
      </c:catAx>
      <c:valAx>
        <c:axId val="86342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432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78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285751</xdr:colOff>
      <xdr:row>0</xdr:row>
      <xdr:rowOff>0</xdr:rowOff>
    </xdr:from>
    <xdr:to>
      <xdr:col>10</xdr:col>
      <xdr:colOff>596900</xdr:colOff>
      <xdr:row>13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3DF64A-D13A-895E-5E7A-6ABA3B22A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292100</xdr:colOff>
      <xdr:row>13</xdr:row>
      <xdr:rowOff>6350</xdr:rowOff>
    </xdr:from>
    <xdr:to>
      <xdr:col>15</xdr:col>
      <xdr:colOff>6350</xdr:colOff>
      <xdr:row>30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101048-E6A5-1A10-6900-D90CBAB1C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upali patel" refreshedDate="46163.116558796297" createdVersion="8" refreshedVersion="8" minRefreshableVersion="3" recordCount="50" xr:uid="{ED07570E-16C6-405D-9AC9-BF39228C882B}">
  <cacheSource type="worksheet">
    <worksheetSource name="Invoices"/>
  </cacheSource>
  <cacheFields count="9">
    <cacheField name="Invoice ID" numFmtId="0">
      <sharedItems/>
    </cacheField>
    <cacheField name="Customer Name" numFmtId="0">
      <sharedItems count="50">
        <s v="ABC Manufacturing"/>
        <s v="Vertex Components"/>
        <s v="Maple Industrial"/>
        <s v="NorthStar Supplies"/>
        <s v="Titan Equipment"/>
        <s v="Prime Logistics"/>
        <s v="Horizon Metals"/>
        <s v="Delta Components"/>
        <s v="Apex Packaging"/>
        <s v="Sterling Industries"/>
        <s v="Orion Manufacturing"/>
        <s v="Summit Plastics"/>
        <s v="NovaTech Solutions"/>
        <s v="GreenLine Packaging"/>
        <s v="Elite Industrial"/>
        <s v="Precision Metals"/>
        <s v="Falcon Parts"/>
        <s v="WestCore Logistics"/>
        <s v="Metro Components"/>
        <s v="Pioneer Supply"/>
        <s v="Unity Fabrication"/>
        <s v="SilverPeak Industries"/>
        <s v="Everest Tools"/>
        <s v="IronGate Manufacturing"/>
        <s v="BlueRock Supply"/>
        <s v="CoreTech Systems"/>
        <s v="Alpine Plastics"/>
        <s v="UrbanEdge Components"/>
        <s v="Vertex Steel"/>
        <s v="Northern Machinery"/>
        <s v="Cedar Industrial"/>
        <s v="Quantum Supply Chain"/>
        <s v="Infinity Packaging"/>
        <s v="GlobalTech Manufacturing"/>
        <s v="Crestline Fabricators"/>
        <s v="Platinum Industrial"/>
        <s v="Titan Freight"/>
        <s v="Omega Components"/>
        <s v="Redwood Metals"/>
        <s v="Dynamic Supply"/>
        <s v="Polaris Equipment"/>
        <s v="Nexa Industrial"/>
        <s v="Horizon Packaging"/>
        <s v="Vertex Distribution"/>
        <s v="IronClad Manufacturing"/>
        <s v="Skyline Plastics"/>
        <s v="Matrix Logistics"/>
        <s v="Alpha Components"/>
        <s v="Zenith Metals"/>
        <s v="Evergreen Supply"/>
      </sharedItems>
    </cacheField>
    <cacheField name="Invoice Date" numFmtId="14">
      <sharedItems containsSemiMixedTypes="0" containsNonDate="0" containsDate="1" containsString="0" minDate="2026-04-01T00:00:00" maxDate="2026-06-11T00:00:00"/>
    </cacheField>
    <cacheField name="Due Date" numFmtId="14">
      <sharedItems containsSemiMixedTypes="0" containsNonDate="0" containsDate="1" containsString="0" minDate="2026-04-30T00:00:00" maxDate="2026-07-11T00:00:00"/>
    </cacheField>
    <cacheField name="Invoice Amount" numFmtId="171">
      <sharedItems containsSemiMixedTypes="0" containsString="0" containsNumber="1" containsInteger="1" minValue="1750" maxValue="7600"/>
    </cacheField>
    <cacheField name="Amount Paid" numFmtId="171">
      <sharedItems containsSemiMixedTypes="0" containsString="0" containsNumber="1" containsInteger="1" minValue="0" maxValue="7600"/>
    </cacheField>
    <cacheField name="Balance " numFmtId="4">
      <sharedItems containsSemiMixedTypes="0" containsString="0" containsNumber="1" containsInteger="1" minValue="0" maxValue="7250"/>
    </cacheField>
    <cacheField name="Status " numFmtId="0">
      <sharedItems/>
    </cacheField>
    <cacheField name="Days Overdue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INV1001"/>
    <x v="0"/>
    <d v="2026-04-01T00:00:00"/>
    <d v="2026-04-30T00:00:00"/>
    <n v="2500"/>
    <n v="2500"/>
    <n v="0"/>
    <s v="Paid"/>
    <n v="0"/>
  </r>
  <r>
    <s v="INV1002"/>
    <x v="1"/>
    <d v="2026-04-05T00:00:00"/>
    <d v="2026-05-01T00:00:00"/>
    <n v="4200"/>
    <n v="2000"/>
    <n v="2200"/>
    <s v="Overdue"/>
    <n v="20"/>
  </r>
  <r>
    <s v="INV1003"/>
    <x v="2"/>
    <d v="2026-04-10T00:00:00"/>
    <d v="2026-05-10T00:00:00"/>
    <n v="1800"/>
    <n v="0"/>
    <n v="1800"/>
    <s v="Overdue"/>
    <n v="11"/>
  </r>
  <r>
    <s v="INV1004"/>
    <x v="3"/>
    <d v="2026-04-12T00:00:00"/>
    <d v="2026-05-12T00:00:00"/>
    <n v="3200"/>
    <n v="3200"/>
    <n v="0"/>
    <s v="Paid"/>
    <n v="0"/>
  </r>
  <r>
    <s v="INV1005"/>
    <x v="4"/>
    <d v="2026-04-15T00:00:00"/>
    <d v="2026-05-15T00:00:00"/>
    <n v="2750"/>
    <n v="1000"/>
    <n v="1750"/>
    <s v="Overdue"/>
    <n v="6"/>
  </r>
  <r>
    <s v="INV1006"/>
    <x v="5"/>
    <d v="2026-04-18T00:00:00"/>
    <d v="2026-05-18T00:00:00"/>
    <n v="3900"/>
    <n v="3900"/>
    <n v="0"/>
    <s v="Paid"/>
    <n v="0"/>
  </r>
  <r>
    <s v="INV1007"/>
    <x v="6"/>
    <d v="2026-04-20T00:00:00"/>
    <d v="2026-05-20T00:00:00"/>
    <n v="4600"/>
    <n v="1500"/>
    <n v="3100"/>
    <s v="Overdue"/>
    <n v="1"/>
  </r>
  <r>
    <s v="INV1008"/>
    <x v="7"/>
    <d v="2026-04-22T00:00:00"/>
    <d v="2026-05-22T00:00:00"/>
    <n v="2100"/>
    <n v="2100"/>
    <n v="0"/>
    <s v="Paid"/>
    <n v="0"/>
  </r>
  <r>
    <s v="INV1009"/>
    <x v="8"/>
    <d v="2026-04-25T00:00:00"/>
    <d v="2026-05-25T00:00:00"/>
    <n v="3500"/>
    <n v="0"/>
    <n v="3500"/>
    <s v="Pending"/>
    <n v="0"/>
  </r>
  <r>
    <s v="INV1010"/>
    <x v="9"/>
    <d v="2026-04-28T00:00:00"/>
    <d v="2026-05-28T00:00:00"/>
    <n v="5000"/>
    <n v="2500"/>
    <n v="2500"/>
    <s v="Pending"/>
    <n v="0"/>
  </r>
  <r>
    <s v="INV1011"/>
    <x v="10"/>
    <d v="2026-05-01T00:00:00"/>
    <d v="2026-05-31T00:00:00"/>
    <n v="4100"/>
    <n v="4100"/>
    <n v="0"/>
    <s v="Paid"/>
    <n v="0"/>
  </r>
  <r>
    <s v="INV1012"/>
    <x v="11"/>
    <d v="2026-05-02T00:00:00"/>
    <d v="2026-06-01T00:00:00"/>
    <n v="2850"/>
    <n v="1200"/>
    <n v="1650"/>
    <s v="Pending"/>
    <n v="0"/>
  </r>
  <r>
    <s v="INV1013"/>
    <x v="12"/>
    <d v="2026-05-03T00:00:00"/>
    <d v="2026-06-02T00:00:00"/>
    <n v="3600"/>
    <n v="0"/>
    <n v="3600"/>
    <s v="Pending"/>
    <n v="0"/>
  </r>
  <r>
    <s v="INV1014"/>
    <x v="13"/>
    <d v="2026-05-04T00:00:00"/>
    <d v="2026-06-03T00:00:00"/>
    <n v="5400"/>
    <n v="5400"/>
    <n v="0"/>
    <s v="Paid"/>
    <n v="0"/>
  </r>
  <r>
    <s v="INV1015"/>
    <x v="14"/>
    <d v="2026-05-05T00:00:00"/>
    <d v="2026-06-04T00:00:00"/>
    <n v="6200"/>
    <n v="3000"/>
    <n v="3200"/>
    <s v="Pending"/>
    <n v="0"/>
  </r>
  <r>
    <s v="INV1016"/>
    <x v="15"/>
    <d v="2026-05-06T00:00:00"/>
    <d v="2026-06-05T00:00:00"/>
    <n v="1750"/>
    <n v="1750"/>
    <n v="0"/>
    <s v="Paid"/>
    <n v="0"/>
  </r>
  <r>
    <s v="INV1017"/>
    <x v="16"/>
    <d v="2026-05-07T00:00:00"/>
    <d v="2026-06-06T00:00:00"/>
    <n v="4900"/>
    <n v="0"/>
    <n v="4900"/>
    <s v="Pending"/>
    <n v="0"/>
  </r>
  <r>
    <s v="INV1018"/>
    <x v="17"/>
    <d v="2026-05-08T00:00:00"/>
    <d v="2026-06-07T00:00:00"/>
    <n v="2550"/>
    <n v="1000"/>
    <n v="1550"/>
    <s v="Pending"/>
    <n v="0"/>
  </r>
  <r>
    <s v="INV1019"/>
    <x v="18"/>
    <d v="2026-05-09T00:00:00"/>
    <d v="2026-06-08T00:00:00"/>
    <n v="7100"/>
    <n v="7100"/>
    <n v="0"/>
    <s v="Paid"/>
    <n v="0"/>
  </r>
  <r>
    <s v="INV1020"/>
    <x v="19"/>
    <d v="2026-05-10T00:00:00"/>
    <d v="2026-06-09T00:00:00"/>
    <n v="3900"/>
    <n v="1500"/>
    <n v="2400"/>
    <s v="Pending"/>
    <n v="0"/>
  </r>
  <r>
    <s v="INV1021"/>
    <x v="20"/>
    <d v="2026-05-11T00:00:00"/>
    <d v="2026-06-10T00:00:00"/>
    <n v="2650"/>
    <n v="2650"/>
    <n v="0"/>
    <s v="Paid"/>
    <n v="0"/>
  </r>
  <r>
    <s v="INV1022"/>
    <x v="21"/>
    <d v="2026-05-12T00:00:00"/>
    <d v="2026-06-11T00:00:00"/>
    <n v="5800"/>
    <n v="2000"/>
    <n v="3800"/>
    <s v="Pending"/>
    <n v="0"/>
  </r>
  <r>
    <s v="INV1023"/>
    <x v="22"/>
    <d v="2026-05-13T00:00:00"/>
    <d v="2026-06-12T00:00:00"/>
    <n v="3300"/>
    <n v="0"/>
    <n v="3300"/>
    <s v="Pending"/>
    <n v="0"/>
  </r>
  <r>
    <s v="INV1024"/>
    <x v="23"/>
    <d v="2026-05-14T00:00:00"/>
    <d v="2026-06-13T00:00:00"/>
    <n v="4400"/>
    <n v="4400"/>
    <n v="0"/>
    <s v="Paid"/>
    <n v="0"/>
  </r>
  <r>
    <s v="INV1025"/>
    <x v="24"/>
    <d v="2026-05-15T00:00:00"/>
    <d v="2026-06-14T00:00:00"/>
    <n v="2950"/>
    <n v="1000"/>
    <n v="1950"/>
    <s v="Pending"/>
    <n v="0"/>
  </r>
  <r>
    <s v="INV1026"/>
    <x v="25"/>
    <d v="2026-05-16T00:00:00"/>
    <d v="2026-06-15T00:00:00"/>
    <n v="7600"/>
    <n v="7600"/>
    <n v="0"/>
    <s v="Paid"/>
    <n v="0"/>
  </r>
  <r>
    <s v="INV1027"/>
    <x v="26"/>
    <d v="2026-05-17T00:00:00"/>
    <d v="2026-06-16T00:00:00"/>
    <n v="2100"/>
    <n v="0"/>
    <n v="2100"/>
    <s v="Pending"/>
    <n v="0"/>
  </r>
  <r>
    <s v="INV1028"/>
    <x v="27"/>
    <d v="2026-05-18T00:00:00"/>
    <d v="2026-06-17T00:00:00"/>
    <n v="4700"/>
    <n v="2200"/>
    <n v="2500"/>
    <s v="Pending"/>
    <n v="0"/>
  </r>
  <r>
    <s v="INV1029"/>
    <x v="28"/>
    <d v="2026-05-19T00:00:00"/>
    <d v="2026-06-18T00:00:00"/>
    <n v="5250"/>
    <n v="5250"/>
    <n v="0"/>
    <s v="Paid"/>
    <n v="0"/>
  </r>
  <r>
    <s v="INV1030"/>
    <x v="29"/>
    <d v="2026-05-20T00:00:00"/>
    <d v="2026-06-19T00:00:00"/>
    <n v="3900"/>
    <n v="1500"/>
    <n v="2400"/>
    <s v="Pending"/>
    <n v="0"/>
  </r>
  <r>
    <s v="INV1031"/>
    <x v="30"/>
    <d v="2026-05-21T00:00:00"/>
    <d v="2026-06-20T00:00:00"/>
    <n v="2800"/>
    <n v="2800"/>
    <n v="0"/>
    <s v="Paid"/>
    <n v="0"/>
  </r>
  <r>
    <s v="INV1032"/>
    <x v="31"/>
    <d v="2026-05-22T00:00:00"/>
    <d v="2026-06-21T00:00:00"/>
    <n v="6100"/>
    <n v="2500"/>
    <n v="3600"/>
    <s v="Pending"/>
    <n v="0"/>
  </r>
  <r>
    <s v="INV1033"/>
    <x v="32"/>
    <d v="2026-05-23T00:00:00"/>
    <d v="2026-06-22T00:00:00"/>
    <n v="3400"/>
    <n v="0"/>
    <n v="3400"/>
    <s v="Pending"/>
    <n v="0"/>
  </r>
  <r>
    <s v="INV1034"/>
    <x v="33"/>
    <d v="2026-05-24T00:00:00"/>
    <d v="2026-06-23T00:00:00"/>
    <n v="4500"/>
    <n v="4500"/>
    <n v="0"/>
    <s v="Paid"/>
    <n v="0"/>
  </r>
  <r>
    <s v="INV1035"/>
    <x v="34"/>
    <d v="2026-05-25T00:00:00"/>
    <d v="2026-06-24T00:00:00"/>
    <n v="3000"/>
    <n v="1000"/>
    <n v="2000"/>
    <s v="Pending"/>
    <n v="0"/>
  </r>
  <r>
    <s v="INV1036"/>
    <x v="35"/>
    <d v="2026-05-26T00:00:00"/>
    <d v="2026-06-25T00:00:00"/>
    <n v="6700"/>
    <n v="6700"/>
    <n v="0"/>
    <s v="Paid"/>
    <n v="0"/>
  </r>
  <r>
    <s v="INV1037"/>
    <x v="36"/>
    <d v="2026-05-27T00:00:00"/>
    <d v="2026-06-26T00:00:00"/>
    <n v="2400"/>
    <n v="0"/>
    <n v="2400"/>
    <s v="Pending"/>
    <n v="0"/>
  </r>
  <r>
    <s v="INV1038"/>
    <x v="37"/>
    <d v="2026-05-28T00:00:00"/>
    <d v="2026-06-27T00:00:00"/>
    <n v="5100"/>
    <n v="1800"/>
    <n v="3300"/>
    <s v="Pending"/>
    <n v="0"/>
  </r>
  <r>
    <s v="INV1039"/>
    <x v="38"/>
    <d v="2026-05-29T00:00:00"/>
    <d v="2026-06-28T00:00:00"/>
    <n v="4300"/>
    <n v="4300"/>
    <n v="0"/>
    <s v="Paid"/>
    <n v="0"/>
  </r>
  <r>
    <s v="INV1040"/>
    <x v="39"/>
    <d v="2026-05-30T00:00:00"/>
    <d v="2026-06-29T00:00:00"/>
    <n v="3900"/>
    <n v="1200"/>
    <n v="2700"/>
    <s v="Pending"/>
    <n v="0"/>
  </r>
  <r>
    <s v="INV1041"/>
    <x v="40"/>
    <d v="2026-06-01T00:00:00"/>
    <d v="2026-07-01T00:00:00"/>
    <n v="5600"/>
    <n v="5600"/>
    <n v="0"/>
    <s v="Paid"/>
    <n v="0"/>
  </r>
  <r>
    <s v="INV1042"/>
    <x v="41"/>
    <d v="2026-06-02T00:00:00"/>
    <d v="2026-07-02T00:00:00"/>
    <n v="3150"/>
    <n v="1000"/>
    <n v="2150"/>
    <s v="Pending"/>
    <n v="0"/>
  </r>
  <r>
    <s v="INV1043"/>
    <x v="42"/>
    <d v="2026-06-03T00:00:00"/>
    <d v="2026-07-03T00:00:00"/>
    <n v="2800"/>
    <n v="0"/>
    <n v="2800"/>
    <s v="Pending"/>
    <n v="0"/>
  </r>
  <r>
    <s v="INV1044"/>
    <x v="43"/>
    <d v="2026-06-04T00:00:00"/>
    <d v="2026-07-04T00:00:00"/>
    <n v="4950"/>
    <n v="4950"/>
    <n v="0"/>
    <s v="Paid"/>
    <n v="0"/>
  </r>
  <r>
    <s v="INV1045"/>
    <x v="44"/>
    <d v="2026-06-05T00:00:00"/>
    <d v="2026-07-05T00:00:00"/>
    <n v="6100"/>
    <n v="3000"/>
    <n v="3100"/>
    <s v="Pending"/>
    <n v="0"/>
  </r>
  <r>
    <s v="INV1046"/>
    <x v="45"/>
    <d v="2026-06-06T00:00:00"/>
    <d v="2026-07-06T00:00:00"/>
    <n v="2500"/>
    <n v="2500"/>
    <n v="0"/>
    <s v="Paid"/>
    <n v="0"/>
  </r>
  <r>
    <s v="INV1047"/>
    <x v="46"/>
    <d v="2026-06-07T00:00:00"/>
    <d v="2026-07-07T00:00:00"/>
    <n v="7250"/>
    <n v="0"/>
    <n v="7250"/>
    <s v="Pending"/>
    <n v="0"/>
  </r>
  <r>
    <s v="INV1048"/>
    <x v="47"/>
    <d v="2026-06-08T00:00:00"/>
    <d v="2026-07-08T00:00:00"/>
    <n v="4100"/>
    <n v="1500"/>
    <n v="2600"/>
    <s v="Pending"/>
    <n v="0"/>
  </r>
  <r>
    <s v="INV1049"/>
    <x v="48"/>
    <d v="2026-06-09T00:00:00"/>
    <d v="2026-07-09T00:00:00"/>
    <n v="5300"/>
    <n v="5300"/>
    <n v="0"/>
    <s v="Paid"/>
    <n v="0"/>
  </r>
  <r>
    <s v="INV1050"/>
    <x v="49"/>
    <d v="2026-06-10T00:00:00"/>
    <d v="2026-07-10T00:00:00"/>
    <n v="3600"/>
    <n v="1000"/>
    <n v="2600"/>
    <s v="Pending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DB6BE-CC32-4618-AB59-9D438328812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ustomer Name">
  <location ref="A14:B25" firstHeaderRow="1" firstDataRow="1" firstDataCol="1"/>
  <pivotFields count="9">
    <pivotField showAll="0"/>
    <pivotField axis="axisRow" showAll="0" measureFilter="1" sortType="ascending">
      <items count="51">
        <item x="0"/>
        <item x="47"/>
        <item x="26"/>
        <item x="8"/>
        <item x="24"/>
        <item x="30"/>
        <item x="25"/>
        <item x="34"/>
        <item x="7"/>
        <item x="39"/>
        <item x="14"/>
        <item x="22"/>
        <item x="49"/>
        <item x="16"/>
        <item x="33"/>
        <item x="13"/>
        <item x="6"/>
        <item x="42"/>
        <item x="32"/>
        <item x="44"/>
        <item x="23"/>
        <item x="2"/>
        <item x="46"/>
        <item x="18"/>
        <item x="41"/>
        <item x="29"/>
        <item x="3"/>
        <item x="12"/>
        <item x="37"/>
        <item x="10"/>
        <item x="19"/>
        <item x="35"/>
        <item x="40"/>
        <item x="15"/>
        <item x="5"/>
        <item x="31"/>
        <item x="38"/>
        <item x="21"/>
        <item x="45"/>
        <item x="9"/>
        <item x="11"/>
        <item x="4"/>
        <item x="36"/>
        <item x="20"/>
        <item x="27"/>
        <item x="1"/>
        <item x="43"/>
        <item x="28"/>
        <item x="17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numFmtId="171" showAll="0"/>
    <pivotField numFmtId="171" showAll="0"/>
    <pivotField dataField="1" numFmtId="4" showAll="0"/>
    <pivotField showAll="0"/>
    <pivotField showAll="0"/>
  </pivotFields>
  <rowFields count="1">
    <field x="1"/>
  </rowFields>
  <rowItems count="11">
    <i>
      <x v="10"/>
    </i>
    <i>
      <x v="28"/>
    </i>
    <i>
      <x v="11"/>
    </i>
    <i>
      <x v="18"/>
    </i>
    <i>
      <x v="3"/>
    </i>
    <i>
      <x v="27"/>
    </i>
    <i>
      <x v="35"/>
    </i>
    <i>
      <x v="37"/>
    </i>
    <i>
      <x v="13"/>
    </i>
    <i>
      <x v="22"/>
    </i>
    <i t="grand">
      <x/>
    </i>
  </rowItems>
  <colItems count="1">
    <i/>
  </colItems>
  <dataFields count="1">
    <dataField name="Sum of Balance " fld="6" baseField="0" baseItem="0" numFmtId="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5D9CBB-5676-418C-82A6-6AD87C6093BE}" name="Invoices" displayName="Invoices" ref="A1:I51" totalsRowShown="0" headerRowDxfId="9" headerRowBorderDxfId="14" tableBorderDxfId="15" totalsRowBorderDxfId="13">
  <autoFilter ref="A1:I51" xr:uid="{3E5D9CBB-5676-418C-82A6-6AD87C6093BE}"/>
  <tableColumns count="9">
    <tableColumn id="1" xr3:uid="{3E08CBAA-8F1E-4299-AD4A-B7A459AA1DB0}" name="Invoice ID" dataDxfId="12"/>
    <tableColumn id="2" xr3:uid="{93D14DCA-EE8B-402E-9F13-2B3FBCB228B6}" name="Customer Name" dataDxfId="11"/>
    <tableColumn id="3" xr3:uid="{E2B18F5E-0464-4DDE-AEF9-63E94806E211}" name="Invoice Date" dataDxfId="10"/>
    <tableColumn id="4" xr3:uid="{F64CCFC8-BE51-4F04-B62D-B8C4EE8DCB55}" name="Due Date" dataDxfId="8"/>
    <tableColumn id="5" xr3:uid="{4EFBE401-4A87-4CF1-9A00-E5751D656701}" name="Invoice Amount" dataDxfId="3"/>
    <tableColumn id="6" xr3:uid="{1B0E8B82-A4A5-4B88-A950-A6B40CA012E7}" name="Amount Paid" dataDxfId="4"/>
    <tableColumn id="7" xr3:uid="{931EA042-038E-4AB3-9607-5698995841A4}" name="Balance " dataDxfId="5">
      <calculatedColumnFormula>Invoices[[#This Row],[Invoice Amount]]-Invoices[[#This Row],[Amount Paid]]</calculatedColumnFormula>
    </tableColumn>
    <tableColumn id="8" xr3:uid="{BC718402-891E-47C2-85F8-6A886147EE99}" name="Status " dataDxfId="6">
      <calculatedColumnFormula>IF(Invoices[[#This Row],[Balance ]]=0,"Paid",IF(TODAY()&gt;Invoices[[#This Row],[Due Date]],"Overdue","Pending"))</calculatedColumnFormula>
    </tableColumn>
    <tableColumn id="9" xr3:uid="{8E986140-4478-476D-82A4-D27B20BD8D13}" name="Days Overdue" dataDxfId="7">
      <calculatedColumnFormula>IF(Invoices[[#This Row],[Status ]]="Overdue",TODAY()-Invoices[[#This Row],[Due Date]],0)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06CF-321C-4DAA-BB79-A0E4B21EA9B8}">
  <dimension ref="A1:J51"/>
  <sheetViews>
    <sheetView workbookViewId="0">
      <pane ySplit="1" topLeftCell="A2" activePane="bottomLeft" state="frozen"/>
      <selection pane="bottomLeft" activeCell="C16" sqref="C16"/>
    </sheetView>
  </sheetViews>
  <sheetFormatPr defaultRowHeight="14.5" x14ac:dyDescent="0.35"/>
  <cols>
    <col min="1" max="1" width="11" customWidth="1"/>
    <col min="2" max="2" width="16.36328125" customWidth="1"/>
    <col min="3" max="3" width="13.1796875" customWidth="1"/>
    <col min="4" max="4" width="10.6328125" customWidth="1"/>
    <col min="5" max="5" width="16" style="22" customWidth="1"/>
    <col min="6" max="6" width="13.7265625" style="22" customWidth="1"/>
    <col min="7" max="7" width="11.1796875" style="19" customWidth="1"/>
    <col min="9" max="9" width="14.453125" customWidth="1"/>
  </cols>
  <sheetData>
    <row r="1" spans="1:10" x14ac:dyDescent="0.35">
      <c r="A1" s="7" t="s">
        <v>0</v>
      </c>
      <c r="B1" s="3" t="s">
        <v>26</v>
      </c>
      <c r="C1" s="3" t="s">
        <v>1</v>
      </c>
      <c r="D1" s="3" t="s">
        <v>27</v>
      </c>
      <c r="E1" s="23" t="s">
        <v>28</v>
      </c>
      <c r="F1" s="23" t="s">
        <v>2</v>
      </c>
      <c r="G1" s="16" t="s">
        <v>3</v>
      </c>
      <c r="H1" s="5" t="s">
        <v>4</v>
      </c>
      <c r="I1" s="6" t="s">
        <v>5</v>
      </c>
      <c r="J1" s="4"/>
    </row>
    <row r="2" spans="1:10" ht="29" x14ac:dyDescent="0.35">
      <c r="A2" s="8" t="s">
        <v>6</v>
      </c>
      <c r="B2" s="9" t="s">
        <v>7</v>
      </c>
      <c r="C2" s="10">
        <v>46113</v>
      </c>
      <c r="D2" s="10">
        <v>46142</v>
      </c>
      <c r="E2" s="24">
        <v>2500</v>
      </c>
      <c r="F2" s="24">
        <v>2500</v>
      </c>
      <c r="G2" s="17">
        <f>Invoices[[#This Row],[Invoice Amount]]-Invoices[[#This Row],[Amount Paid]]</f>
        <v>0</v>
      </c>
      <c r="H2" s="20" t="str">
        <f ca="1">IF(Invoices[[#This Row],[Balance ]]=0,"Paid",IF(TODAY()&gt;Invoices[[#This Row],[Due Date]],"Overdue","Pending"))</f>
        <v>Paid</v>
      </c>
      <c r="I2" s="11">
        <f ca="1">IF(Invoices[[#This Row],[Status ]]="Overdue",TODAY()-Invoices[[#This Row],[Due Date]],0)</f>
        <v>0</v>
      </c>
    </row>
    <row r="3" spans="1:10" ht="29" x14ac:dyDescent="0.35">
      <c r="A3" s="8" t="s">
        <v>8</v>
      </c>
      <c r="B3" s="9" t="s">
        <v>9</v>
      </c>
      <c r="C3" s="10">
        <v>46117</v>
      </c>
      <c r="D3" s="10">
        <v>46143</v>
      </c>
      <c r="E3" s="24">
        <v>4200</v>
      </c>
      <c r="F3" s="24">
        <v>2000</v>
      </c>
      <c r="G3" s="17">
        <f>Invoices[[#This Row],[Invoice Amount]]-Invoices[[#This Row],[Amount Paid]]</f>
        <v>2200</v>
      </c>
      <c r="H3" s="20" t="str">
        <f ca="1">IF(Invoices[[#This Row],[Balance ]]=0,"Paid",IF(TODAY()&gt;Invoices[[#This Row],[Due Date]],"Overdue","Pending"))</f>
        <v>Overdue</v>
      </c>
      <c r="I3" s="11">
        <f ca="1">IF(Invoices[[#This Row],[Status ]]="Overdue",TODAY()-Invoices[[#This Row],[Due Date]],0)</f>
        <v>20</v>
      </c>
    </row>
    <row r="4" spans="1:10" x14ac:dyDescent="0.35">
      <c r="A4" s="8" t="s">
        <v>10</v>
      </c>
      <c r="B4" s="9" t="s">
        <v>11</v>
      </c>
      <c r="C4" s="10">
        <v>46122</v>
      </c>
      <c r="D4" s="10">
        <v>46152</v>
      </c>
      <c r="E4" s="24">
        <v>1800</v>
      </c>
      <c r="F4" s="24">
        <v>0</v>
      </c>
      <c r="G4" s="17">
        <f>Invoices[[#This Row],[Invoice Amount]]-Invoices[[#This Row],[Amount Paid]]</f>
        <v>1800</v>
      </c>
      <c r="H4" s="20" t="str">
        <f ca="1">IF(Invoices[[#This Row],[Balance ]]=0,"Paid",IF(TODAY()&gt;Invoices[[#This Row],[Due Date]],"Overdue","Pending"))</f>
        <v>Overdue</v>
      </c>
      <c r="I4" s="11">
        <f ca="1">IF(Invoices[[#This Row],[Status ]]="Overdue",TODAY()-Invoices[[#This Row],[Due Date]],0)</f>
        <v>11</v>
      </c>
    </row>
    <row r="5" spans="1:10" x14ac:dyDescent="0.35">
      <c r="A5" s="8" t="s">
        <v>12</v>
      </c>
      <c r="B5" s="9" t="s">
        <v>13</v>
      </c>
      <c r="C5" s="10">
        <v>46124</v>
      </c>
      <c r="D5" s="10">
        <v>46154</v>
      </c>
      <c r="E5" s="24">
        <v>3200</v>
      </c>
      <c r="F5" s="24">
        <v>3200</v>
      </c>
      <c r="G5" s="17">
        <f>Invoices[[#This Row],[Invoice Amount]]-Invoices[[#This Row],[Amount Paid]]</f>
        <v>0</v>
      </c>
      <c r="H5" s="20" t="str">
        <f ca="1">IF(Invoices[[#This Row],[Balance ]]=0,"Paid",IF(TODAY()&gt;Invoices[[#This Row],[Due Date]],"Overdue","Pending"))</f>
        <v>Paid</v>
      </c>
      <c r="I5" s="11">
        <f ca="1">IF(Invoices[[#This Row],[Status ]]="Overdue",TODAY()-Invoices[[#This Row],[Due Date]],0)</f>
        <v>0</v>
      </c>
    </row>
    <row r="6" spans="1:10" x14ac:dyDescent="0.35">
      <c r="A6" s="8" t="s">
        <v>14</v>
      </c>
      <c r="B6" s="9" t="s">
        <v>15</v>
      </c>
      <c r="C6" s="10">
        <v>46127</v>
      </c>
      <c r="D6" s="10">
        <v>46157</v>
      </c>
      <c r="E6" s="24">
        <v>2750</v>
      </c>
      <c r="F6" s="24">
        <v>1000</v>
      </c>
      <c r="G6" s="17">
        <f>Invoices[[#This Row],[Invoice Amount]]-Invoices[[#This Row],[Amount Paid]]</f>
        <v>1750</v>
      </c>
      <c r="H6" s="20" t="str">
        <f ca="1">IF(Invoices[[#This Row],[Balance ]]=0,"Paid",IF(TODAY()&gt;Invoices[[#This Row],[Due Date]],"Overdue","Pending"))</f>
        <v>Overdue</v>
      </c>
      <c r="I6" s="11">
        <f ca="1">IF(Invoices[[#This Row],[Status ]]="Overdue",TODAY()-Invoices[[#This Row],[Due Date]],0)</f>
        <v>6</v>
      </c>
    </row>
    <row r="7" spans="1:10" x14ac:dyDescent="0.35">
      <c r="A7" s="8" t="s">
        <v>16</v>
      </c>
      <c r="B7" s="9" t="s">
        <v>17</v>
      </c>
      <c r="C7" s="10">
        <v>46130</v>
      </c>
      <c r="D7" s="10">
        <v>46160</v>
      </c>
      <c r="E7" s="24">
        <v>3900</v>
      </c>
      <c r="F7" s="24">
        <v>3900</v>
      </c>
      <c r="G7" s="17">
        <f>Invoices[[#This Row],[Invoice Amount]]-Invoices[[#This Row],[Amount Paid]]</f>
        <v>0</v>
      </c>
      <c r="H7" s="20" t="str">
        <f ca="1">IF(Invoices[[#This Row],[Balance ]]=0,"Paid",IF(TODAY()&gt;Invoices[[#This Row],[Due Date]],"Overdue","Pending"))</f>
        <v>Paid</v>
      </c>
      <c r="I7" s="11">
        <f ca="1">IF(Invoices[[#This Row],[Status ]]="Overdue",TODAY()-Invoices[[#This Row],[Due Date]],0)</f>
        <v>0</v>
      </c>
    </row>
    <row r="8" spans="1:10" x14ac:dyDescent="0.35">
      <c r="A8" s="8" t="s">
        <v>18</v>
      </c>
      <c r="B8" s="9" t="s">
        <v>19</v>
      </c>
      <c r="C8" s="10">
        <v>46132</v>
      </c>
      <c r="D8" s="10">
        <v>46162</v>
      </c>
      <c r="E8" s="24">
        <v>4600</v>
      </c>
      <c r="F8" s="24">
        <v>1500</v>
      </c>
      <c r="G8" s="17">
        <f>Invoices[[#This Row],[Invoice Amount]]-Invoices[[#This Row],[Amount Paid]]</f>
        <v>3100</v>
      </c>
      <c r="H8" s="20" t="str">
        <f ca="1">IF(Invoices[[#This Row],[Balance ]]=0,"Paid",IF(TODAY()&gt;Invoices[[#This Row],[Due Date]],"Overdue","Pending"))</f>
        <v>Overdue</v>
      </c>
      <c r="I8" s="11">
        <f ca="1">IF(Invoices[[#This Row],[Status ]]="Overdue",TODAY()-Invoices[[#This Row],[Due Date]],0)</f>
        <v>1</v>
      </c>
    </row>
    <row r="9" spans="1:10" x14ac:dyDescent="0.35">
      <c r="A9" s="8" t="s">
        <v>20</v>
      </c>
      <c r="B9" s="9" t="s">
        <v>21</v>
      </c>
      <c r="C9" s="10">
        <v>46134</v>
      </c>
      <c r="D9" s="10">
        <v>46164</v>
      </c>
      <c r="E9" s="24">
        <v>2100</v>
      </c>
      <c r="F9" s="24">
        <v>2100</v>
      </c>
      <c r="G9" s="17">
        <f>Invoices[[#This Row],[Invoice Amount]]-Invoices[[#This Row],[Amount Paid]]</f>
        <v>0</v>
      </c>
      <c r="H9" s="20" t="str">
        <f ca="1">IF(Invoices[[#This Row],[Balance ]]=0,"Paid",IF(TODAY()&gt;Invoices[[#This Row],[Due Date]],"Overdue","Pending"))</f>
        <v>Paid</v>
      </c>
      <c r="I9" s="11">
        <f ca="1">IF(Invoices[[#This Row],[Status ]]="Overdue",TODAY()-Invoices[[#This Row],[Due Date]],0)</f>
        <v>0</v>
      </c>
    </row>
    <row r="10" spans="1:10" x14ac:dyDescent="0.35">
      <c r="A10" s="8" t="s">
        <v>22</v>
      </c>
      <c r="B10" s="9" t="s">
        <v>23</v>
      </c>
      <c r="C10" s="10">
        <v>46137</v>
      </c>
      <c r="D10" s="10">
        <v>46167</v>
      </c>
      <c r="E10" s="24">
        <v>3500</v>
      </c>
      <c r="F10" s="24">
        <v>0</v>
      </c>
      <c r="G10" s="17">
        <f>Invoices[[#This Row],[Invoice Amount]]-Invoices[[#This Row],[Amount Paid]]</f>
        <v>3500</v>
      </c>
      <c r="H10" s="20" t="str">
        <f ca="1">IF(Invoices[[#This Row],[Balance ]]=0,"Paid",IF(TODAY()&gt;Invoices[[#This Row],[Due Date]],"Overdue","Pending"))</f>
        <v>Pending</v>
      </c>
      <c r="I10" s="11">
        <f ca="1">IF(Invoices[[#This Row],[Status ]]="Overdue",TODAY()-Invoices[[#This Row],[Due Date]],0)</f>
        <v>0</v>
      </c>
    </row>
    <row r="11" spans="1:10" x14ac:dyDescent="0.35">
      <c r="A11" s="8" t="s">
        <v>24</v>
      </c>
      <c r="B11" s="9" t="s">
        <v>25</v>
      </c>
      <c r="C11" s="10">
        <v>46140</v>
      </c>
      <c r="D11" s="10">
        <v>46170</v>
      </c>
      <c r="E11" s="24">
        <v>5000</v>
      </c>
      <c r="F11" s="24">
        <v>2500</v>
      </c>
      <c r="G11" s="17">
        <f>Invoices[[#This Row],[Invoice Amount]]-Invoices[[#This Row],[Amount Paid]]</f>
        <v>2500</v>
      </c>
      <c r="H11" s="20" t="str">
        <f ca="1">IF(Invoices[[#This Row],[Balance ]]=0,"Paid",IF(TODAY()&gt;Invoices[[#This Row],[Due Date]],"Overdue","Pending"))</f>
        <v>Pending</v>
      </c>
      <c r="I11" s="11">
        <f ca="1">IF(Invoices[[#This Row],[Status ]]="Overdue",TODAY()-Invoices[[#This Row],[Due Date]],0)</f>
        <v>0</v>
      </c>
    </row>
    <row r="12" spans="1:10" ht="29" x14ac:dyDescent="0.35">
      <c r="A12" s="8" t="s">
        <v>29</v>
      </c>
      <c r="B12" s="9" t="s">
        <v>30</v>
      </c>
      <c r="C12" s="10">
        <v>46143</v>
      </c>
      <c r="D12" s="10">
        <v>46173</v>
      </c>
      <c r="E12" s="24">
        <v>4100</v>
      </c>
      <c r="F12" s="24">
        <v>4100</v>
      </c>
      <c r="G12" s="17">
        <f>Invoices[[#This Row],[Invoice Amount]]-Invoices[[#This Row],[Amount Paid]]</f>
        <v>0</v>
      </c>
      <c r="H12" s="20" t="str">
        <f ca="1">IF(Invoices[[#This Row],[Balance ]]=0,"Paid",IF(TODAY()&gt;Invoices[[#This Row],[Due Date]],"Overdue","Pending"))</f>
        <v>Paid</v>
      </c>
      <c r="I12" s="11">
        <f ca="1">IF(Invoices[[#This Row],[Status ]]="Overdue",TODAY()-Invoices[[#This Row],[Due Date]],0)</f>
        <v>0</v>
      </c>
    </row>
    <row r="13" spans="1:10" x14ac:dyDescent="0.35">
      <c r="A13" s="8" t="s">
        <v>31</v>
      </c>
      <c r="B13" s="9" t="s">
        <v>32</v>
      </c>
      <c r="C13" s="10">
        <v>46144</v>
      </c>
      <c r="D13" s="10">
        <v>46174</v>
      </c>
      <c r="E13" s="24">
        <v>2850</v>
      </c>
      <c r="F13" s="24">
        <v>1200</v>
      </c>
      <c r="G13" s="17">
        <f>Invoices[[#This Row],[Invoice Amount]]-Invoices[[#This Row],[Amount Paid]]</f>
        <v>1650</v>
      </c>
      <c r="H13" s="20" t="str">
        <f ca="1">IF(Invoices[[#This Row],[Balance ]]=0,"Paid",IF(TODAY()&gt;Invoices[[#This Row],[Due Date]],"Overdue","Pending"))</f>
        <v>Pending</v>
      </c>
      <c r="I13" s="11">
        <f ca="1">IF(Invoices[[#This Row],[Status ]]="Overdue",TODAY()-Invoices[[#This Row],[Due Date]],0)</f>
        <v>0</v>
      </c>
    </row>
    <row r="14" spans="1:10" ht="29" x14ac:dyDescent="0.35">
      <c r="A14" s="8" t="s">
        <v>33</v>
      </c>
      <c r="B14" s="9" t="s">
        <v>34</v>
      </c>
      <c r="C14" s="10">
        <v>46145</v>
      </c>
      <c r="D14" s="10">
        <v>46175</v>
      </c>
      <c r="E14" s="24">
        <v>3600</v>
      </c>
      <c r="F14" s="24">
        <v>0</v>
      </c>
      <c r="G14" s="17">
        <f>Invoices[[#This Row],[Invoice Amount]]-Invoices[[#This Row],[Amount Paid]]</f>
        <v>3600</v>
      </c>
      <c r="H14" s="20" t="str">
        <f ca="1">IF(Invoices[[#This Row],[Balance ]]=0,"Paid",IF(TODAY()&gt;Invoices[[#This Row],[Due Date]],"Overdue","Pending"))</f>
        <v>Pending</v>
      </c>
      <c r="I14" s="11">
        <f ca="1">IF(Invoices[[#This Row],[Status ]]="Overdue",TODAY()-Invoices[[#This Row],[Due Date]],0)</f>
        <v>0</v>
      </c>
    </row>
    <row r="15" spans="1:10" ht="29" x14ac:dyDescent="0.35">
      <c r="A15" s="8" t="s">
        <v>35</v>
      </c>
      <c r="B15" s="9" t="s">
        <v>36</v>
      </c>
      <c r="C15" s="10">
        <v>46146</v>
      </c>
      <c r="D15" s="10">
        <v>46176</v>
      </c>
      <c r="E15" s="24">
        <v>5400</v>
      </c>
      <c r="F15" s="24">
        <v>5400</v>
      </c>
      <c r="G15" s="17">
        <f>Invoices[[#This Row],[Invoice Amount]]-Invoices[[#This Row],[Amount Paid]]</f>
        <v>0</v>
      </c>
      <c r="H15" s="20" t="str">
        <f ca="1">IF(Invoices[[#This Row],[Balance ]]=0,"Paid",IF(TODAY()&gt;Invoices[[#This Row],[Due Date]],"Overdue","Pending"))</f>
        <v>Paid</v>
      </c>
      <c r="I15" s="11">
        <f ca="1">IF(Invoices[[#This Row],[Status ]]="Overdue",TODAY()-Invoices[[#This Row],[Due Date]],0)</f>
        <v>0</v>
      </c>
    </row>
    <row r="16" spans="1:10" x14ac:dyDescent="0.35">
      <c r="A16" s="8" t="s">
        <v>37</v>
      </c>
      <c r="B16" s="9" t="s">
        <v>38</v>
      </c>
      <c r="C16" s="10">
        <v>46147</v>
      </c>
      <c r="D16" s="10">
        <v>46177</v>
      </c>
      <c r="E16" s="24">
        <v>6200</v>
      </c>
      <c r="F16" s="24">
        <v>3000</v>
      </c>
      <c r="G16" s="17">
        <f>Invoices[[#This Row],[Invoice Amount]]-Invoices[[#This Row],[Amount Paid]]</f>
        <v>3200</v>
      </c>
      <c r="H16" s="20" t="str">
        <f ca="1">IF(Invoices[[#This Row],[Balance ]]=0,"Paid",IF(TODAY()&gt;Invoices[[#This Row],[Due Date]],"Overdue","Pending"))</f>
        <v>Pending</v>
      </c>
      <c r="I16" s="11">
        <f ca="1">IF(Invoices[[#This Row],[Status ]]="Overdue",TODAY()-Invoices[[#This Row],[Due Date]],0)</f>
        <v>0</v>
      </c>
    </row>
    <row r="17" spans="1:9" x14ac:dyDescent="0.35">
      <c r="A17" s="8" t="s">
        <v>39</v>
      </c>
      <c r="B17" s="9" t="s">
        <v>40</v>
      </c>
      <c r="C17" s="10">
        <v>46148</v>
      </c>
      <c r="D17" s="10">
        <v>46178</v>
      </c>
      <c r="E17" s="24">
        <v>1750</v>
      </c>
      <c r="F17" s="24">
        <v>1750</v>
      </c>
      <c r="G17" s="17">
        <f>Invoices[[#This Row],[Invoice Amount]]-Invoices[[#This Row],[Amount Paid]]</f>
        <v>0</v>
      </c>
      <c r="H17" s="20" t="str">
        <f ca="1">IF(Invoices[[#This Row],[Balance ]]=0,"Paid",IF(TODAY()&gt;Invoices[[#This Row],[Due Date]],"Overdue","Pending"))</f>
        <v>Paid</v>
      </c>
      <c r="I17" s="11">
        <f ca="1">IF(Invoices[[#This Row],[Status ]]="Overdue",TODAY()-Invoices[[#This Row],[Due Date]],0)</f>
        <v>0</v>
      </c>
    </row>
    <row r="18" spans="1:9" x14ac:dyDescent="0.35">
      <c r="A18" s="8" t="s">
        <v>41</v>
      </c>
      <c r="B18" s="9" t="s">
        <v>42</v>
      </c>
      <c r="C18" s="10">
        <v>46149</v>
      </c>
      <c r="D18" s="10">
        <v>46179</v>
      </c>
      <c r="E18" s="24">
        <v>4900</v>
      </c>
      <c r="F18" s="24">
        <v>0</v>
      </c>
      <c r="G18" s="17">
        <f>Invoices[[#This Row],[Invoice Amount]]-Invoices[[#This Row],[Amount Paid]]</f>
        <v>4900</v>
      </c>
      <c r="H18" s="20" t="str">
        <f ca="1">IF(Invoices[[#This Row],[Balance ]]=0,"Paid",IF(TODAY()&gt;Invoices[[#This Row],[Due Date]],"Overdue","Pending"))</f>
        <v>Pending</v>
      </c>
      <c r="I18" s="11">
        <f ca="1">IF(Invoices[[#This Row],[Status ]]="Overdue",TODAY()-Invoices[[#This Row],[Due Date]],0)</f>
        <v>0</v>
      </c>
    </row>
    <row r="19" spans="1:9" x14ac:dyDescent="0.35">
      <c r="A19" s="8" t="s">
        <v>43</v>
      </c>
      <c r="B19" s="9" t="s">
        <v>44</v>
      </c>
      <c r="C19" s="10">
        <v>46150</v>
      </c>
      <c r="D19" s="10">
        <v>46180</v>
      </c>
      <c r="E19" s="24">
        <v>2550</v>
      </c>
      <c r="F19" s="24">
        <v>1000</v>
      </c>
      <c r="G19" s="17">
        <f>Invoices[[#This Row],[Invoice Amount]]-Invoices[[#This Row],[Amount Paid]]</f>
        <v>1550</v>
      </c>
      <c r="H19" s="20" t="str">
        <f ca="1">IF(Invoices[[#This Row],[Balance ]]=0,"Paid",IF(TODAY()&gt;Invoices[[#This Row],[Due Date]],"Overdue","Pending"))</f>
        <v>Pending</v>
      </c>
      <c r="I19" s="11">
        <f ca="1">IF(Invoices[[#This Row],[Status ]]="Overdue",TODAY()-Invoices[[#This Row],[Due Date]],0)</f>
        <v>0</v>
      </c>
    </row>
    <row r="20" spans="1:9" ht="29" x14ac:dyDescent="0.35">
      <c r="A20" s="8" t="s">
        <v>45</v>
      </c>
      <c r="B20" s="9" t="s">
        <v>46</v>
      </c>
      <c r="C20" s="10">
        <v>46151</v>
      </c>
      <c r="D20" s="10">
        <v>46181</v>
      </c>
      <c r="E20" s="24">
        <v>7100</v>
      </c>
      <c r="F20" s="24">
        <v>7100</v>
      </c>
      <c r="G20" s="17">
        <f>Invoices[[#This Row],[Invoice Amount]]-Invoices[[#This Row],[Amount Paid]]</f>
        <v>0</v>
      </c>
      <c r="H20" s="20" t="str">
        <f ca="1">IF(Invoices[[#This Row],[Balance ]]=0,"Paid",IF(TODAY()&gt;Invoices[[#This Row],[Due Date]],"Overdue","Pending"))</f>
        <v>Paid</v>
      </c>
      <c r="I20" s="11">
        <f ca="1">IF(Invoices[[#This Row],[Status ]]="Overdue",TODAY()-Invoices[[#This Row],[Due Date]],0)</f>
        <v>0</v>
      </c>
    </row>
    <row r="21" spans="1:9" x14ac:dyDescent="0.35">
      <c r="A21" s="8" t="s">
        <v>47</v>
      </c>
      <c r="B21" s="9" t="s">
        <v>48</v>
      </c>
      <c r="C21" s="10">
        <v>46152</v>
      </c>
      <c r="D21" s="10">
        <v>46182</v>
      </c>
      <c r="E21" s="24">
        <v>3900</v>
      </c>
      <c r="F21" s="24">
        <v>1500</v>
      </c>
      <c r="G21" s="17">
        <f>Invoices[[#This Row],[Invoice Amount]]-Invoices[[#This Row],[Amount Paid]]</f>
        <v>2400</v>
      </c>
      <c r="H21" s="20" t="str">
        <f ca="1">IF(Invoices[[#This Row],[Balance ]]=0,"Paid",IF(TODAY()&gt;Invoices[[#This Row],[Due Date]],"Overdue","Pending"))</f>
        <v>Pending</v>
      </c>
      <c r="I21" s="11">
        <f ca="1">IF(Invoices[[#This Row],[Status ]]="Overdue",TODAY()-Invoices[[#This Row],[Due Date]],0)</f>
        <v>0</v>
      </c>
    </row>
    <row r="22" spans="1:9" x14ac:dyDescent="0.35">
      <c r="A22" s="8" t="s">
        <v>49</v>
      </c>
      <c r="B22" s="9" t="s">
        <v>50</v>
      </c>
      <c r="C22" s="10">
        <v>46153</v>
      </c>
      <c r="D22" s="10">
        <v>46183</v>
      </c>
      <c r="E22" s="24">
        <v>2650</v>
      </c>
      <c r="F22" s="24">
        <v>2650</v>
      </c>
      <c r="G22" s="17">
        <f>Invoices[[#This Row],[Invoice Amount]]-Invoices[[#This Row],[Amount Paid]]</f>
        <v>0</v>
      </c>
      <c r="H22" s="20" t="str">
        <f ca="1">IF(Invoices[[#This Row],[Balance ]]=0,"Paid",IF(TODAY()&gt;Invoices[[#This Row],[Due Date]],"Overdue","Pending"))</f>
        <v>Paid</v>
      </c>
      <c r="I22" s="11">
        <f ca="1">IF(Invoices[[#This Row],[Status ]]="Overdue",TODAY()-Invoices[[#This Row],[Due Date]],0)</f>
        <v>0</v>
      </c>
    </row>
    <row r="23" spans="1:9" ht="29" x14ac:dyDescent="0.35">
      <c r="A23" s="8" t="s">
        <v>51</v>
      </c>
      <c r="B23" s="9" t="s">
        <v>52</v>
      </c>
      <c r="C23" s="10">
        <v>46154</v>
      </c>
      <c r="D23" s="10">
        <v>46184</v>
      </c>
      <c r="E23" s="24">
        <v>5800</v>
      </c>
      <c r="F23" s="24">
        <v>2000</v>
      </c>
      <c r="G23" s="17">
        <f>Invoices[[#This Row],[Invoice Amount]]-Invoices[[#This Row],[Amount Paid]]</f>
        <v>3800</v>
      </c>
      <c r="H23" s="20" t="str">
        <f ca="1">IF(Invoices[[#This Row],[Balance ]]=0,"Paid",IF(TODAY()&gt;Invoices[[#This Row],[Due Date]],"Overdue","Pending"))</f>
        <v>Pending</v>
      </c>
      <c r="I23" s="11">
        <f ca="1">IF(Invoices[[#This Row],[Status ]]="Overdue",TODAY()-Invoices[[#This Row],[Due Date]],0)</f>
        <v>0</v>
      </c>
    </row>
    <row r="24" spans="1:9" x14ac:dyDescent="0.35">
      <c r="A24" s="8" t="s">
        <v>53</v>
      </c>
      <c r="B24" s="9" t="s">
        <v>54</v>
      </c>
      <c r="C24" s="10">
        <v>46155</v>
      </c>
      <c r="D24" s="10">
        <v>46185</v>
      </c>
      <c r="E24" s="24">
        <v>3300</v>
      </c>
      <c r="F24" s="24">
        <v>0</v>
      </c>
      <c r="G24" s="17">
        <f>Invoices[[#This Row],[Invoice Amount]]-Invoices[[#This Row],[Amount Paid]]</f>
        <v>3300</v>
      </c>
      <c r="H24" s="20" t="str">
        <f ca="1">IF(Invoices[[#This Row],[Balance ]]=0,"Paid",IF(TODAY()&gt;Invoices[[#This Row],[Due Date]],"Overdue","Pending"))</f>
        <v>Pending</v>
      </c>
      <c r="I24" s="11">
        <f ca="1">IF(Invoices[[#This Row],[Status ]]="Overdue",TODAY()-Invoices[[#This Row],[Due Date]],0)</f>
        <v>0</v>
      </c>
    </row>
    <row r="25" spans="1:9" ht="29" x14ac:dyDescent="0.35">
      <c r="A25" s="8" t="s">
        <v>55</v>
      </c>
      <c r="B25" s="9" t="s">
        <v>56</v>
      </c>
      <c r="C25" s="10">
        <v>46156</v>
      </c>
      <c r="D25" s="10">
        <v>46186</v>
      </c>
      <c r="E25" s="24">
        <v>4400</v>
      </c>
      <c r="F25" s="24">
        <v>4400</v>
      </c>
      <c r="G25" s="17">
        <f>Invoices[[#This Row],[Invoice Amount]]-Invoices[[#This Row],[Amount Paid]]</f>
        <v>0</v>
      </c>
      <c r="H25" s="20" t="str">
        <f ca="1">IF(Invoices[[#This Row],[Balance ]]=0,"Paid",IF(TODAY()&gt;Invoices[[#This Row],[Due Date]],"Overdue","Pending"))</f>
        <v>Paid</v>
      </c>
      <c r="I25" s="11">
        <f ca="1">IF(Invoices[[#This Row],[Status ]]="Overdue",TODAY()-Invoices[[#This Row],[Due Date]],0)</f>
        <v>0</v>
      </c>
    </row>
    <row r="26" spans="1:9" x14ac:dyDescent="0.35">
      <c r="A26" s="8" t="s">
        <v>57</v>
      </c>
      <c r="B26" s="9" t="s">
        <v>58</v>
      </c>
      <c r="C26" s="10">
        <v>46157</v>
      </c>
      <c r="D26" s="10">
        <v>46187</v>
      </c>
      <c r="E26" s="24">
        <v>2950</v>
      </c>
      <c r="F26" s="24">
        <v>1000</v>
      </c>
      <c r="G26" s="17">
        <f>Invoices[[#This Row],[Invoice Amount]]-Invoices[[#This Row],[Amount Paid]]</f>
        <v>1950</v>
      </c>
      <c r="H26" s="20" t="str">
        <f ca="1">IF(Invoices[[#This Row],[Balance ]]=0,"Paid",IF(TODAY()&gt;Invoices[[#This Row],[Due Date]],"Overdue","Pending"))</f>
        <v>Pending</v>
      </c>
      <c r="I26" s="11">
        <f ca="1">IF(Invoices[[#This Row],[Status ]]="Overdue",TODAY()-Invoices[[#This Row],[Due Date]],0)</f>
        <v>0</v>
      </c>
    </row>
    <row r="27" spans="1:9" x14ac:dyDescent="0.35">
      <c r="A27" s="8" t="s">
        <v>59</v>
      </c>
      <c r="B27" s="9" t="s">
        <v>60</v>
      </c>
      <c r="C27" s="10">
        <v>46158</v>
      </c>
      <c r="D27" s="10">
        <v>46188</v>
      </c>
      <c r="E27" s="24">
        <v>7600</v>
      </c>
      <c r="F27" s="24">
        <v>7600</v>
      </c>
      <c r="G27" s="17">
        <f>Invoices[[#This Row],[Invoice Amount]]-Invoices[[#This Row],[Amount Paid]]</f>
        <v>0</v>
      </c>
      <c r="H27" s="20" t="str">
        <f ca="1">IF(Invoices[[#This Row],[Balance ]]=0,"Paid",IF(TODAY()&gt;Invoices[[#This Row],[Due Date]],"Overdue","Pending"))</f>
        <v>Paid</v>
      </c>
      <c r="I27" s="11">
        <f ca="1">IF(Invoices[[#This Row],[Status ]]="Overdue",TODAY()-Invoices[[#This Row],[Due Date]],0)</f>
        <v>0</v>
      </c>
    </row>
    <row r="28" spans="1:9" x14ac:dyDescent="0.35">
      <c r="A28" s="8" t="s">
        <v>61</v>
      </c>
      <c r="B28" s="9" t="s">
        <v>62</v>
      </c>
      <c r="C28" s="10">
        <v>46159</v>
      </c>
      <c r="D28" s="10">
        <v>46189</v>
      </c>
      <c r="E28" s="24">
        <v>2100</v>
      </c>
      <c r="F28" s="24">
        <v>0</v>
      </c>
      <c r="G28" s="17">
        <f>Invoices[[#This Row],[Invoice Amount]]-Invoices[[#This Row],[Amount Paid]]</f>
        <v>2100</v>
      </c>
      <c r="H28" s="20" t="str">
        <f ca="1">IF(Invoices[[#This Row],[Balance ]]=0,"Paid",IF(TODAY()&gt;Invoices[[#This Row],[Due Date]],"Overdue","Pending"))</f>
        <v>Pending</v>
      </c>
      <c r="I28" s="11">
        <f ca="1">IF(Invoices[[#This Row],[Status ]]="Overdue",TODAY()-Invoices[[#This Row],[Due Date]],0)</f>
        <v>0</v>
      </c>
    </row>
    <row r="29" spans="1:9" ht="29" x14ac:dyDescent="0.35">
      <c r="A29" s="8" t="s">
        <v>63</v>
      </c>
      <c r="B29" s="9" t="s">
        <v>64</v>
      </c>
      <c r="C29" s="10">
        <v>46160</v>
      </c>
      <c r="D29" s="10">
        <v>46190</v>
      </c>
      <c r="E29" s="24">
        <v>4700</v>
      </c>
      <c r="F29" s="24">
        <v>2200</v>
      </c>
      <c r="G29" s="17">
        <f>Invoices[[#This Row],[Invoice Amount]]-Invoices[[#This Row],[Amount Paid]]</f>
        <v>2500</v>
      </c>
      <c r="H29" s="20" t="str">
        <f ca="1">IF(Invoices[[#This Row],[Balance ]]=0,"Paid",IF(TODAY()&gt;Invoices[[#This Row],[Due Date]],"Overdue","Pending"))</f>
        <v>Pending</v>
      </c>
      <c r="I29" s="11">
        <f ca="1">IF(Invoices[[#This Row],[Status ]]="Overdue",TODAY()-Invoices[[#This Row],[Due Date]],0)</f>
        <v>0</v>
      </c>
    </row>
    <row r="30" spans="1:9" x14ac:dyDescent="0.35">
      <c r="A30" s="8" t="s">
        <v>65</v>
      </c>
      <c r="B30" s="9" t="s">
        <v>66</v>
      </c>
      <c r="C30" s="10">
        <v>46161</v>
      </c>
      <c r="D30" s="10">
        <v>46191</v>
      </c>
      <c r="E30" s="24">
        <v>5250</v>
      </c>
      <c r="F30" s="24">
        <v>5250</v>
      </c>
      <c r="G30" s="17">
        <f>Invoices[[#This Row],[Invoice Amount]]-Invoices[[#This Row],[Amount Paid]]</f>
        <v>0</v>
      </c>
      <c r="H30" s="20" t="str">
        <f ca="1">IF(Invoices[[#This Row],[Balance ]]=0,"Paid",IF(TODAY()&gt;Invoices[[#This Row],[Due Date]],"Overdue","Pending"))</f>
        <v>Paid</v>
      </c>
      <c r="I30" s="11">
        <f ca="1">IF(Invoices[[#This Row],[Status ]]="Overdue",TODAY()-Invoices[[#This Row],[Due Date]],0)</f>
        <v>0</v>
      </c>
    </row>
    <row r="31" spans="1:9" ht="29" x14ac:dyDescent="0.35">
      <c r="A31" s="8" t="s">
        <v>67</v>
      </c>
      <c r="B31" s="9" t="s">
        <v>68</v>
      </c>
      <c r="C31" s="10">
        <v>46162</v>
      </c>
      <c r="D31" s="10">
        <v>46192</v>
      </c>
      <c r="E31" s="24">
        <v>3900</v>
      </c>
      <c r="F31" s="24">
        <v>1500</v>
      </c>
      <c r="G31" s="17">
        <f>Invoices[[#This Row],[Invoice Amount]]-Invoices[[#This Row],[Amount Paid]]</f>
        <v>2400</v>
      </c>
      <c r="H31" s="20" t="str">
        <f ca="1">IF(Invoices[[#This Row],[Balance ]]=0,"Paid",IF(TODAY()&gt;Invoices[[#This Row],[Due Date]],"Overdue","Pending"))</f>
        <v>Pending</v>
      </c>
      <c r="I31" s="11">
        <f ca="1">IF(Invoices[[#This Row],[Status ]]="Overdue",TODAY()-Invoices[[#This Row],[Due Date]],0)</f>
        <v>0</v>
      </c>
    </row>
    <row r="32" spans="1:9" x14ac:dyDescent="0.35">
      <c r="A32" s="8" t="s">
        <v>69</v>
      </c>
      <c r="B32" s="9" t="s">
        <v>70</v>
      </c>
      <c r="C32" s="10">
        <v>46163</v>
      </c>
      <c r="D32" s="10">
        <v>46193</v>
      </c>
      <c r="E32" s="24">
        <v>2800</v>
      </c>
      <c r="F32" s="24">
        <v>2800</v>
      </c>
      <c r="G32" s="17">
        <f>Invoices[[#This Row],[Invoice Amount]]-Invoices[[#This Row],[Amount Paid]]</f>
        <v>0</v>
      </c>
      <c r="H32" s="20" t="str">
        <f ca="1">IF(Invoices[[#This Row],[Balance ]]=0,"Paid",IF(TODAY()&gt;Invoices[[#This Row],[Due Date]],"Overdue","Pending"))</f>
        <v>Paid</v>
      </c>
      <c r="I32" s="11">
        <f ca="1">IF(Invoices[[#This Row],[Status ]]="Overdue",TODAY()-Invoices[[#This Row],[Due Date]],0)</f>
        <v>0</v>
      </c>
    </row>
    <row r="33" spans="1:9" ht="29" x14ac:dyDescent="0.35">
      <c r="A33" s="8" t="s">
        <v>71</v>
      </c>
      <c r="B33" s="9" t="s">
        <v>72</v>
      </c>
      <c r="C33" s="10">
        <v>46164</v>
      </c>
      <c r="D33" s="10">
        <v>46194</v>
      </c>
      <c r="E33" s="24">
        <v>6100</v>
      </c>
      <c r="F33" s="24">
        <v>2500</v>
      </c>
      <c r="G33" s="17">
        <f>Invoices[[#This Row],[Invoice Amount]]-Invoices[[#This Row],[Amount Paid]]</f>
        <v>3600</v>
      </c>
      <c r="H33" s="20" t="str">
        <f ca="1">IF(Invoices[[#This Row],[Balance ]]=0,"Paid",IF(TODAY()&gt;Invoices[[#This Row],[Due Date]],"Overdue","Pending"))</f>
        <v>Pending</v>
      </c>
      <c r="I33" s="11">
        <f ca="1">IF(Invoices[[#This Row],[Status ]]="Overdue",TODAY()-Invoices[[#This Row],[Due Date]],0)</f>
        <v>0</v>
      </c>
    </row>
    <row r="34" spans="1:9" x14ac:dyDescent="0.35">
      <c r="A34" s="8" t="s">
        <v>73</v>
      </c>
      <c r="B34" s="9" t="s">
        <v>74</v>
      </c>
      <c r="C34" s="10">
        <v>46165</v>
      </c>
      <c r="D34" s="10">
        <v>46195</v>
      </c>
      <c r="E34" s="24">
        <v>3400</v>
      </c>
      <c r="F34" s="24">
        <v>0</v>
      </c>
      <c r="G34" s="17">
        <f>Invoices[[#This Row],[Invoice Amount]]-Invoices[[#This Row],[Amount Paid]]</f>
        <v>3400</v>
      </c>
      <c r="H34" s="20" t="str">
        <f ca="1">IF(Invoices[[#This Row],[Balance ]]=0,"Paid",IF(TODAY()&gt;Invoices[[#This Row],[Due Date]],"Overdue","Pending"))</f>
        <v>Pending</v>
      </c>
      <c r="I34" s="11">
        <f ca="1">IF(Invoices[[#This Row],[Status ]]="Overdue",TODAY()-Invoices[[#This Row],[Due Date]],0)</f>
        <v>0</v>
      </c>
    </row>
    <row r="35" spans="1:9" ht="29" x14ac:dyDescent="0.35">
      <c r="A35" s="8" t="s">
        <v>75</v>
      </c>
      <c r="B35" s="9" t="s">
        <v>76</v>
      </c>
      <c r="C35" s="10">
        <v>46166</v>
      </c>
      <c r="D35" s="10">
        <v>46196</v>
      </c>
      <c r="E35" s="24">
        <v>4500</v>
      </c>
      <c r="F35" s="24">
        <v>4500</v>
      </c>
      <c r="G35" s="17">
        <f>Invoices[[#This Row],[Invoice Amount]]-Invoices[[#This Row],[Amount Paid]]</f>
        <v>0</v>
      </c>
      <c r="H35" s="20" t="str">
        <f ca="1">IF(Invoices[[#This Row],[Balance ]]=0,"Paid",IF(TODAY()&gt;Invoices[[#This Row],[Due Date]],"Overdue","Pending"))</f>
        <v>Paid</v>
      </c>
      <c r="I35" s="11">
        <f ca="1">IF(Invoices[[#This Row],[Status ]]="Overdue",TODAY()-Invoices[[#This Row],[Due Date]],0)</f>
        <v>0</v>
      </c>
    </row>
    <row r="36" spans="1:9" ht="29" x14ac:dyDescent="0.35">
      <c r="A36" s="8" t="s">
        <v>77</v>
      </c>
      <c r="B36" s="9" t="s">
        <v>78</v>
      </c>
      <c r="C36" s="10">
        <v>46167</v>
      </c>
      <c r="D36" s="10">
        <v>46197</v>
      </c>
      <c r="E36" s="24">
        <v>3000</v>
      </c>
      <c r="F36" s="24">
        <v>1000</v>
      </c>
      <c r="G36" s="17">
        <f>Invoices[[#This Row],[Invoice Amount]]-Invoices[[#This Row],[Amount Paid]]</f>
        <v>2000</v>
      </c>
      <c r="H36" s="20" t="str">
        <f ca="1">IF(Invoices[[#This Row],[Balance ]]=0,"Paid",IF(TODAY()&gt;Invoices[[#This Row],[Due Date]],"Overdue","Pending"))</f>
        <v>Pending</v>
      </c>
      <c r="I36" s="11">
        <f ca="1">IF(Invoices[[#This Row],[Status ]]="Overdue",TODAY()-Invoices[[#This Row],[Due Date]],0)</f>
        <v>0</v>
      </c>
    </row>
    <row r="37" spans="1:9" ht="29" x14ac:dyDescent="0.35">
      <c r="A37" s="8" t="s">
        <v>79</v>
      </c>
      <c r="B37" s="9" t="s">
        <v>80</v>
      </c>
      <c r="C37" s="10">
        <v>46168</v>
      </c>
      <c r="D37" s="10">
        <v>46198</v>
      </c>
      <c r="E37" s="24">
        <v>6700</v>
      </c>
      <c r="F37" s="24">
        <v>6700</v>
      </c>
      <c r="G37" s="17">
        <f>Invoices[[#This Row],[Invoice Amount]]-Invoices[[#This Row],[Amount Paid]]</f>
        <v>0</v>
      </c>
      <c r="H37" s="20" t="str">
        <f ca="1">IF(Invoices[[#This Row],[Balance ]]=0,"Paid",IF(TODAY()&gt;Invoices[[#This Row],[Due Date]],"Overdue","Pending"))</f>
        <v>Paid</v>
      </c>
      <c r="I37" s="11">
        <f ca="1">IF(Invoices[[#This Row],[Status ]]="Overdue",TODAY()-Invoices[[#This Row],[Due Date]],0)</f>
        <v>0</v>
      </c>
    </row>
    <row r="38" spans="1:9" x14ac:dyDescent="0.35">
      <c r="A38" s="8" t="s">
        <v>81</v>
      </c>
      <c r="B38" s="9" t="s">
        <v>82</v>
      </c>
      <c r="C38" s="10">
        <v>46169</v>
      </c>
      <c r="D38" s="10">
        <v>46199</v>
      </c>
      <c r="E38" s="24">
        <v>2400</v>
      </c>
      <c r="F38" s="24">
        <v>0</v>
      </c>
      <c r="G38" s="17">
        <f>Invoices[[#This Row],[Invoice Amount]]-Invoices[[#This Row],[Amount Paid]]</f>
        <v>2400</v>
      </c>
      <c r="H38" s="20" t="str">
        <f ca="1">IF(Invoices[[#This Row],[Balance ]]=0,"Paid",IF(TODAY()&gt;Invoices[[#This Row],[Due Date]],"Overdue","Pending"))</f>
        <v>Pending</v>
      </c>
      <c r="I38" s="11">
        <f ca="1">IF(Invoices[[#This Row],[Status ]]="Overdue",TODAY()-Invoices[[#This Row],[Due Date]],0)</f>
        <v>0</v>
      </c>
    </row>
    <row r="39" spans="1:9" ht="29" x14ac:dyDescent="0.35">
      <c r="A39" s="8" t="s">
        <v>83</v>
      </c>
      <c r="B39" s="9" t="s">
        <v>84</v>
      </c>
      <c r="C39" s="10">
        <v>46170</v>
      </c>
      <c r="D39" s="10">
        <v>46200</v>
      </c>
      <c r="E39" s="24">
        <v>5100</v>
      </c>
      <c r="F39" s="24">
        <v>1800</v>
      </c>
      <c r="G39" s="17">
        <f>Invoices[[#This Row],[Invoice Amount]]-Invoices[[#This Row],[Amount Paid]]</f>
        <v>3300</v>
      </c>
      <c r="H39" s="20" t="str">
        <f ca="1">IF(Invoices[[#This Row],[Balance ]]=0,"Paid",IF(TODAY()&gt;Invoices[[#This Row],[Due Date]],"Overdue","Pending"))</f>
        <v>Pending</v>
      </c>
      <c r="I39" s="11">
        <f ca="1">IF(Invoices[[#This Row],[Status ]]="Overdue",TODAY()-Invoices[[#This Row],[Due Date]],0)</f>
        <v>0</v>
      </c>
    </row>
    <row r="40" spans="1:9" x14ac:dyDescent="0.35">
      <c r="A40" s="8" t="s">
        <v>85</v>
      </c>
      <c r="B40" s="9" t="s">
        <v>86</v>
      </c>
      <c r="C40" s="10">
        <v>46171</v>
      </c>
      <c r="D40" s="10">
        <v>46201</v>
      </c>
      <c r="E40" s="24">
        <v>4300</v>
      </c>
      <c r="F40" s="24">
        <v>4300</v>
      </c>
      <c r="G40" s="17">
        <f>Invoices[[#This Row],[Invoice Amount]]-Invoices[[#This Row],[Amount Paid]]</f>
        <v>0</v>
      </c>
      <c r="H40" s="20" t="str">
        <f ca="1">IF(Invoices[[#This Row],[Balance ]]=0,"Paid",IF(TODAY()&gt;Invoices[[#This Row],[Due Date]],"Overdue","Pending"))</f>
        <v>Paid</v>
      </c>
      <c r="I40" s="11">
        <f ca="1">IF(Invoices[[#This Row],[Status ]]="Overdue",TODAY()-Invoices[[#This Row],[Due Date]],0)</f>
        <v>0</v>
      </c>
    </row>
    <row r="41" spans="1:9" x14ac:dyDescent="0.35">
      <c r="A41" s="8" t="s">
        <v>87</v>
      </c>
      <c r="B41" s="9" t="s">
        <v>88</v>
      </c>
      <c r="C41" s="10">
        <v>46172</v>
      </c>
      <c r="D41" s="10">
        <v>46202</v>
      </c>
      <c r="E41" s="24">
        <v>3900</v>
      </c>
      <c r="F41" s="24">
        <v>1200</v>
      </c>
      <c r="G41" s="17">
        <f>Invoices[[#This Row],[Invoice Amount]]-Invoices[[#This Row],[Amount Paid]]</f>
        <v>2700</v>
      </c>
      <c r="H41" s="20" t="str">
        <f ca="1">IF(Invoices[[#This Row],[Balance ]]=0,"Paid",IF(TODAY()&gt;Invoices[[#This Row],[Due Date]],"Overdue","Pending"))</f>
        <v>Pending</v>
      </c>
      <c r="I41" s="11">
        <f ca="1">IF(Invoices[[#This Row],[Status ]]="Overdue",TODAY()-Invoices[[#This Row],[Due Date]],0)</f>
        <v>0</v>
      </c>
    </row>
    <row r="42" spans="1:9" x14ac:dyDescent="0.35">
      <c r="A42" s="8" t="s">
        <v>89</v>
      </c>
      <c r="B42" s="9" t="s">
        <v>90</v>
      </c>
      <c r="C42" s="10">
        <v>46174</v>
      </c>
      <c r="D42" s="10">
        <v>46204</v>
      </c>
      <c r="E42" s="24">
        <v>5600</v>
      </c>
      <c r="F42" s="24">
        <v>5600</v>
      </c>
      <c r="G42" s="17">
        <f>Invoices[[#This Row],[Invoice Amount]]-Invoices[[#This Row],[Amount Paid]]</f>
        <v>0</v>
      </c>
      <c r="H42" s="20" t="str">
        <f ca="1">IF(Invoices[[#This Row],[Balance ]]=0,"Paid",IF(TODAY()&gt;Invoices[[#This Row],[Due Date]],"Overdue","Pending"))</f>
        <v>Paid</v>
      </c>
      <c r="I42" s="11">
        <f ca="1">IF(Invoices[[#This Row],[Status ]]="Overdue",TODAY()-Invoices[[#This Row],[Due Date]],0)</f>
        <v>0</v>
      </c>
    </row>
    <row r="43" spans="1:9" x14ac:dyDescent="0.35">
      <c r="A43" s="8" t="s">
        <v>91</v>
      </c>
      <c r="B43" s="9" t="s">
        <v>92</v>
      </c>
      <c r="C43" s="10">
        <v>46175</v>
      </c>
      <c r="D43" s="10">
        <v>46205</v>
      </c>
      <c r="E43" s="24">
        <v>3150</v>
      </c>
      <c r="F43" s="24">
        <v>1000</v>
      </c>
      <c r="G43" s="17">
        <f>Invoices[[#This Row],[Invoice Amount]]-Invoices[[#This Row],[Amount Paid]]</f>
        <v>2150</v>
      </c>
      <c r="H43" s="20" t="str">
        <f ca="1">IF(Invoices[[#This Row],[Balance ]]=0,"Paid",IF(TODAY()&gt;Invoices[[#This Row],[Due Date]],"Overdue","Pending"))</f>
        <v>Pending</v>
      </c>
      <c r="I43" s="11">
        <f ca="1">IF(Invoices[[#This Row],[Status ]]="Overdue",TODAY()-Invoices[[#This Row],[Due Date]],0)</f>
        <v>0</v>
      </c>
    </row>
    <row r="44" spans="1:9" x14ac:dyDescent="0.35">
      <c r="A44" s="8" t="s">
        <v>93</v>
      </c>
      <c r="B44" s="9" t="s">
        <v>94</v>
      </c>
      <c r="C44" s="10">
        <v>46176</v>
      </c>
      <c r="D44" s="10">
        <v>46206</v>
      </c>
      <c r="E44" s="24">
        <v>2800</v>
      </c>
      <c r="F44" s="24">
        <v>0</v>
      </c>
      <c r="G44" s="17">
        <f>Invoices[[#This Row],[Invoice Amount]]-Invoices[[#This Row],[Amount Paid]]</f>
        <v>2800</v>
      </c>
      <c r="H44" s="20" t="str">
        <f ca="1">IF(Invoices[[#This Row],[Balance ]]=0,"Paid",IF(TODAY()&gt;Invoices[[#This Row],[Due Date]],"Overdue","Pending"))</f>
        <v>Pending</v>
      </c>
      <c r="I44" s="11">
        <f ca="1">IF(Invoices[[#This Row],[Status ]]="Overdue",TODAY()-Invoices[[#This Row],[Due Date]],0)</f>
        <v>0</v>
      </c>
    </row>
    <row r="45" spans="1:9" ht="29" x14ac:dyDescent="0.35">
      <c r="A45" s="8" t="s">
        <v>95</v>
      </c>
      <c r="B45" s="9" t="s">
        <v>96</v>
      </c>
      <c r="C45" s="10">
        <v>46177</v>
      </c>
      <c r="D45" s="10">
        <v>46207</v>
      </c>
      <c r="E45" s="24">
        <v>4950</v>
      </c>
      <c r="F45" s="24">
        <v>4950</v>
      </c>
      <c r="G45" s="17">
        <f>Invoices[[#This Row],[Invoice Amount]]-Invoices[[#This Row],[Amount Paid]]</f>
        <v>0</v>
      </c>
      <c r="H45" s="20" t="str">
        <f ca="1">IF(Invoices[[#This Row],[Balance ]]=0,"Paid",IF(TODAY()&gt;Invoices[[#This Row],[Due Date]],"Overdue","Pending"))</f>
        <v>Paid</v>
      </c>
      <c r="I45" s="11">
        <f ca="1">IF(Invoices[[#This Row],[Status ]]="Overdue",TODAY()-Invoices[[#This Row],[Due Date]],0)</f>
        <v>0</v>
      </c>
    </row>
    <row r="46" spans="1:9" ht="29" x14ac:dyDescent="0.35">
      <c r="A46" s="8" t="s">
        <v>97</v>
      </c>
      <c r="B46" s="9" t="s">
        <v>98</v>
      </c>
      <c r="C46" s="10">
        <v>46178</v>
      </c>
      <c r="D46" s="10">
        <v>46208</v>
      </c>
      <c r="E46" s="24">
        <v>6100</v>
      </c>
      <c r="F46" s="24">
        <v>3000</v>
      </c>
      <c r="G46" s="17">
        <f>Invoices[[#This Row],[Invoice Amount]]-Invoices[[#This Row],[Amount Paid]]</f>
        <v>3100</v>
      </c>
      <c r="H46" s="20" t="str">
        <f ca="1">IF(Invoices[[#This Row],[Balance ]]=0,"Paid",IF(TODAY()&gt;Invoices[[#This Row],[Due Date]],"Overdue","Pending"))</f>
        <v>Pending</v>
      </c>
      <c r="I46" s="11">
        <f ca="1">IF(Invoices[[#This Row],[Status ]]="Overdue",TODAY()-Invoices[[#This Row],[Due Date]],0)</f>
        <v>0</v>
      </c>
    </row>
    <row r="47" spans="1:9" x14ac:dyDescent="0.35">
      <c r="A47" s="8" t="s">
        <v>99</v>
      </c>
      <c r="B47" s="9" t="s">
        <v>100</v>
      </c>
      <c r="C47" s="10">
        <v>46179</v>
      </c>
      <c r="D47" s="10">
        <v>46209</v>
      </c>
      <c r="E47" s="24">
        <v>2500</v>
      </c>
      <c r="F47" s="24">
        <v>2500</v>
      </c>
      <c r="G47" s="17">
        <f>Invoices[[#This Row],[Invoice Amount]]-Invoices[[#This Row],[Amount Paid]]</f>
        <v>0</v>
      </c>
      <c r="H47" s="20" t="str">
        <f ca="1">IF(Invoices[[#This Row],[Balance ]]=0,"Paid",IF(TODAY()&gt;Invoices[[#This Row],[Due Date]],"Overdue","Pending"))</f>
        <v>Paid</v>
      </c>
      <c r="I47" s="11">
        <f ca="1">IF(Invoices[[#This Row],[Status ]]="Overdue",TODAY()-Invoices[[#This Row],[Due Date]],0)</f>
        <v>0</v>
      </c>
    </row>
    <row r="48" spans="1:9" x14ac:dyDescent="0.35">
      <c r="A48" s="8" t="s">
        <v>101</v>
      </c>
      <c r="B48" s="9" t="s">
        <v>102</v>
      </c>
      <c r="C48" s="10">
        <v>46180</v>
      </c>
      <c r="D48" s="10">
        <v>46210</v>
      </c>
      <c r="E48" s="24">
        <v>7250</v>
      </c>
      <c r="F48" s="24">
        <v>0</v>
      </c>
      <c r="G48" s="17">
        <f>Invoices[[#This Row],[Invoice Amount]]-Invoices[[#This Row],[Amount Paid]]</f>
        <v>7250</v>
      </c>
      <c r="H48" s="20" t="str">
        <f ca="1">IF(Invoices[[#This Row],[Balance ]]=0,"Paid",IF(TODAY()&gt;Invoices[[#This Row],[Due Date]],"Overdue","Pending"))</f>
        <v>Pending</v>
      </c>
      <c r="I48" s="11">
        <f ca="1">IF(Invoices[[#This Row],[Status ]]="Overdue",TODAY()-Invoices[[#This Row],[Due Date]],0)</f>
        <v>0</v>
      </c>
    </row>
    <row r="49" spans="1:9" ht="29" x14ac:dyDescent="0.35">
      <c r="A49" s="8" t="s">
        <v>103</v>
      </c>
      <c r="B49" s="9" t="s">
        <v>104</v>
      </c>
      <c r="C49" s="10">
        <v>46181</v>
      </c>
      <c r="D49" s="10">
        <v>46211</v>
      </c>
      <c r="E49" s="24">
        <v>4100</v>
      </c>
      <c r="F49" s="24">
        <v>1500</v>
      </c>
      <c r="G49" s="17">
        <f>Invoices[[#This Row],[Invoice Amount]]-Invoices[[#This Row],[Amount Paid]]</f>
        <v>2600</v>
      </c>
      <c r="H49" s="20" t="str">
        <f ca="1">IF(Invoices[[#This Row],[Balance ]]=0,"Paid",IF(TODAY()&gt;Invoices[[#This Row],[Due Date]],"Overdue","Pending"))</f>
        <v>Pending</v>
      </c>
      <c r="I49" s="11">
        <f ca="1">IF(Invoices[[#This Row],[Status ]]="Overdue",TODAY()-Invoices[[#This Row],[Due Date]],0)</f>
        <v>0</v>
      </c>
    </row>
    <row r="50" spans="1:9" x14ac:dyDescent="0.35">
      <c r="A50" s="8" t="s">
        <v>105</v>
      </c>
      <c r="B50" s="9" t="s">
        <v>106</v>
      </c>
      <c r="C50" s="10">
        <v>46182</v>
      </c>
      <c r="D50" s="10">
        <v>46212</v>
      </c>
      <c r="E50" s="24">
        <v>5300</v>
      </c>
      <c r="F50" s="24">
        <v>5300</v>
      </c>
      <c r="G50" s="17">
        <f>Invoices[[#This Row],[Invoice Amount]]-Invoices[[#This Row],[Amount Paid]]</f>
        <v>0</v>
      </c>
      <c r="H50" s="20" t="str">
        <f ca="1">IF(Invoices[[#This Row],[Balance ]]=0,"Paid",IF(TODAY()&gt;Invoices[[#This Row],[Due Date]],"Overdue","Pending"))</f>
        <v>Paid</v>
      </c>
      <c r="I50" s="11">
        <f ca="1">IF(Invoices[[#This Row],[Status ]]="Overdue",TODAY()-Invoices[[#This Row],[Due Date]],0)</f>
        <v>0</v>
      </c>
    </row>
    <row r="51" spans="1:9" x14ac:dyDescent="0.35">
      <c r="A51" s="12" t="s">
        <v>107</v>
      </c>
      <c r="B51" s="13" t="s">
        <v>108</v>
      </c>
      <c r="C51" s="14">
        <v>46183</v>
      </c>
      <c r="D51" s="14">
        <v>46213</v>
      </c>
      <c r="E51" s="25">
        <v>3600</v>
      </c>
      <c r="F51" s="25">
        <v>1000</v>
      </c>
      <c r="G51" s="18">
        <f>Invoices[[#This Row],[Invoice Amount]]-Invoices[[#This Row],[Amount Paid]]</f>
        <v>2600</v>
      </c>
      <c r="H51" s="21" t="str">
        <f ca="1">IF(Invoices[[#This Row],[Balance ]]=0,"Paid",IF(TODAY()&gt;Invoices[[#This Row],[Due Date]],"Overdue","Pending"))</f>
        <v>Pending</v>
      </c>
      <c r="I51" s="15">
        <f ca="1">IF(Invoices[[#This Row],[Status ]]="Overdue",TODAY()-Invoices[[#This Row],[Due Date]],0)</f>
        <v>0</v>
      </c>
    </row>
  </sheetData>
  <conditionalFormatting sqref="H2:H51">
    <cfRule type="containsText" dxfId="2" priority="1" operator="containsText" text="Pending">
      <formula>NOT(ISERROR(SEARCH("Pending",H2)))</formula>
    </cfRule>
    <cfRule type="containsText" dxfId="1" priority="2" operator="containsText" text="Overdue">
      <formula>NOT(ISERROR(SEARCH("Overdue",H2)))</formula>
    </cfRule>
    <cfRule type="containsText" dxfId="0" priority="3" operator="containsText" text="Paid">
      <formula>NOT(ISERROR(SEARCH("Paid",H2)))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A673-33D8-423A-BA96-CA3E4342A721}">
  <dimension ref="A1:O25"/>
  <sheetViews>
    <sheetView showGridLines="0" tabSelected="1" zoomScale="53" zoomScaleNormal="100" workbookViewId="0">
      <selection activeCell="Q10" sqref="Q10"/>
    </sheetView>
  </sheetViews>
  <sheetFormatPr defaultRowHeight="14.5" x14ac:dyDescent="0.35"/>
  <cols>
    <col min="1" max="1" width="20.08984375" bestFit="1" customWidth="1"/>
    <col min="2" max="2" width="14.08984375" bestFit="1" customWidth="1"/>
    <col min="12" max="12" width="16" bestFit="1" customWidth="1"/>
  </cols>
  <sheetData>
    <row r="1" spans="1:15" x14ac:dyDescent="0.35">
      <c r="A1" s="1" t="s">
        <v>116</v>
      </c>
      <c r="B1" s="27">
        <f>Summary!B4</f>
        <v>86100</v>
      </c>
      <c r="K1" s="26"/>
      <c r="L1" s="35" t="s">
        <v>125</v>
      </c>
      <c r="M1" s="36"/>
      <c r="N1" s="36"/>
      <c r="O1" s="37"/>
    </row>
    <row r="2" spans="1:15" x14ac:dyDescent="0.35">
      <c r="A2" s="1" t="s">
        <v>117</v>
      </c>
      <c r="B2" s="29">
        <f>Summary!B3</f>
        <v>120000</v>
      </c>
      <c r="K2" s="26"/>
      <c r="L2" s="38"/>
      <c r="M2" s="34"/>
      <c r="N2" s="34"/>
      <c r="O2" s="39"/>
    </row>
    <row r="3" spans="1:15" x14ac:dyDescent="0.35">
      <c r="A3" s="1" t="s">
        <v>112</v>
      </c>
      <c r="B3" s="2">
        <f ca="1">Summary!B5</f>
        <v>4</v>
      </c>
      <c r="K3" s="26"/>
      <c r="L3" s="38"/>
      <c r="M3" s="34"/>
      <c r="N3" s="34"/>
      <c r="O3" s="39"/>
    </row>
    <row r="4" spans="1:15" x14ac:dyDescent="0.35">
      <c r="A4" s="1" t="s">
        <v>118</v>
      </c>
      <c r="B4" s="2">
        <f ca="1">Summary!B7</f>
        <v>26</v>
      </c>
      <c r="K4" s="26"/>
      <c r="L4" s="38"/>
      <c r="M4" s="34"/>
      <c r="N4" s="34"/>
      <c r="O4" s="39"/>
    </row>
    <row r="5" spans="1:15" ht="14.5" customHeight="1" x14ac:dyDescent="0.35">
      <c r="A5" s="31"/>
      <c r="B5" s="4"/>
      <c r="K5" s="26"/>
      <c r="L5" s="38"/>
      <c r="M5" s="34"/>
      <c r="N5" s="34"/>
      <c r="O5" s="39"/>
    </row>
    <row r="6" spans="1:15" x14ac:dyDescent="0.35">
      <c r="K6" s="26"/>
      <c r="L6" s="38"/>
      <c r="M6" s="34"/>
      <c r="N6" s="34"/>
      <c r="O6" s="39"/>
    </row>
    <row r="7" spans="1:15" x14ac:dyDescent="0.35">
      <c r="K7" s="26"/>
      <c r="L7" s="38"/>
      <c r="M7" s="34"/>
      <c r="N7" s="34"/>
      <c r="O7" s="39"/>
    </row>
    <row r="8" spans="1:15" x14ac:dyDescent="0.35">
      <c r="A8" s="30" t="s">
        <v>4</v>
      </c>
      <c r="B8" s="1" t="s">
        <v>122</v>
      </c>
      <c r="L8" s="38"/>
      <c r="M8" s="34"/>
      <c r="N8" s="34"/>
      <c r="O8" s="39"/>
    </row>
    <row r="9" spans="1:15" ht="14.5" customHeight="1" x14ac:dyDescent="0.35">
      <c r="A9" s="30" t="s">
        <v>119</v>
      </c>
      <c r="B9" s="2">
        <f ca="1">Summary!B6</f>
        <v>20</v>
      </c>
      <c r="L9" s="38"/>
      <c r="M9" s="34"/>
      <c r="N9" s="34"/>
      <c r="O9" s="39"/>
    </row>
    <row r="10" spans="1:15" x14ac:dyDescent="0.35">
      <c r="A10" s="30" t="s">
        <v>120</v>
      </c>
      <c r="B10" s="2">
        <f ca="1">Summary!B7</f>
        <v>26</v>
      </c>
      <c r="L10" s="38"/>
      <c r="M10" s="34"/>
      <c r="N10" s="34"/>
      <c r="O10" s="39"/>
    </row>
    <row r="11" spans="1:15" x14ac:dyDescent="0.35">
      <c r="A11" s="30" t="s">
        <v>121</v>
      </c>
      <c r="B11" s="2">
        <f ca="1">Summary!B5</f>
        <v>4</v>
      </c>
      <c r="L11" s="38"/>
      <c r="M11" s="34"/>
      <c r="N11" s="34"/>
      <c r="O11" s="39"/>
    </row>
    <row r="12" spans="1:15" x14ac:dyDescent="0.35">
      <c r="L12" s="38"/>
      <c r="M12" s="34"/>
      <c r="N12" s="34"/>
      <c r="O12" s="39"/>
    </row>
    <row r="13" spans="1:15" ht="15" thickBot="1" x14ac:dyDescent="0.4">
      <c r="L13" s="40"/>
      <c r="M13" s="41"/>
      <c r="N13" s="41"/>
      <c r="O13" s="42"/>
    </row>
    <row r="14" spans="1:15" x14ac:dyDescent="0.35">
      <c r="A14" s="32" t="s">
        <v>26</v>
      </c>
      <c r="B14" t="s">
        <v>124</v>
      </c>
    </row>
    <row r="15" spans="1:15" x14ac:dyDescent="0.35">
      <c r="A15" s="33" t="s">
        <v>38</v>
      </c>
      <c r="B15" s="19">
        <v>3200</v>
      </c>
    </row>
    <row r="16" spans="1:15" x14ac:dyDescent="0.35">
      <c r="A16" s="33" t="s">
        <v>84</v>
      </c>
      <c r="B16" s="19">
        <v>3300</v>
      </c>
    </row>
    <row r="17" spans="1:2" x14ac:dyDescent="0.35">
      <c r="A17" s="33" t="s">
        <v>54</v>
      </c>
      <c r="B17" s="19">
        <v>3300</v>
      </c>
    </row>
    <row r="18" spans="1:2" x14ac:dyDescent="0.35">
      <c r="A18" s="33" t="s">
        <v>74</v>
      </c>
      <c r="B18" s="19">
        <v>3400</v>
      </c>
    </row>
    <row r="19" spans="1:2" x14ac:dyDescent="0.35">
      <c r="A19" s="33" t="s">
        <v>23</v>
      </c>
      <c r="B19" s="19">
        <v>3500</v>
      </c>
    </row>
    <row r="20" spans="1:2" x14ac:dyDescent="0.35">
      <c r="A20" s="33" t="s">
        <v>34</v>
      </c>
      <c r="B20" s="19">
        <v>3600</v>
      </c>
    </row>
    <row r="21" spans="1:2" x14ac:dyDescent="0.35">
      <c r="A21" s="33" t="s">
        <v>72</v>
      </c>
      <c r="B21" s="19">
        <v>3600</v>
      </c>
    </row>
    <row r="22" spans="1:2" x14ac:dyDescent="0.35">
      <c r="A22" s="33" t="s">
        <v>52</v>
      </c>
      <c r="B22" s="19">
        <v>3800</v>
      </c>
    </row>
    <row r="23" spans="1:2" x14ac:dyDescent="0.35">
      <c r="A23" s="33" t="s">
        <v>42</v>
      </c>
      <c r="B23" s="19">
        <v>4900</v>
      </c>
    </row>
    <row r="24" spans="1:2" x14ac:dyDescent="0.35">
      <c r="A24" s="33" t="s">
        <v>102</v>
      </c>
      <c r="B24" s="19">
        <v>7250</v>
      </c>
    </row>
    <row r="25" spans="1:2" x14ac:dyDescent="0.35">
      <c r="A25" s="33" t="s">
        <v>123</v>
      </c>
      <c r="B25" s="19">
        <v>39850</v>
      </c>
    </row>
  </sheetData>
  <mergeCells count="1">
    <mergeCell ref="L1:O13"/>
  </mergeCells>
  <phoneticPr fontId="4" type="noConversion"/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F885-6FE8-4AD2-B328-BA709B3F2A18}">
  <dimension ref="A1:B7"/>
  <sheetViews>
    <sheetView workbookViewId="0">
      <selection activeCell="G8" sqref="G8"/>
    </sheetView>
  </sheetViews>
  <sheetFormatPr defaultRowHeight="14.5" x14ac:dyDescent="0.35"/>
  <cols>
    <col min="1" max="1" width="22.81640625" bestFit="1" customWidth="1"/>
    <col min="2" max="2" width="13.26953125" bestFit="1" customWidth="1"/>
  </cols>
  <sheetData>
    <row r="1" spans="1:2" x14ac:dyDescent="0.35">
      <c r="A1" s="28" t="s">
        <v>109</v>
      </c>
      <c r="B1" s="2">
        <f>COUNTA(Invoices[Invoice ID])</f>
        <v>50</v>
      </c>
    </row>
    <row r="2" spans="1:2" x14ac:dyDescent="0.35">
      <c r="A2" s="28" t="s">
        <v>110</v>
      </c>
      <c r="B2" s="29">
        <f>SUM(Invoices[Invoice Amount])</f>
        <v>206100</v>
      </c>
    </row>
    <row r="3" spans="1:2" x14ac:dyDescent="0.35">
      <c r="A3" s="28" t="s">
        <v>115</v>
      </c>
      <c r="B3" s="29">
        <f>SUM(Invoices[Amount Paid])</f>
        <v>120000</v>
      </c>
    </row>
    <row r="4" spans="1:2" x14ac:dyDescent="0.35">
      <c r="A4" s="28" t="s">
        <v>111</v>
      </c>
      <c r="B4" s="27">
        <f>SUM(Invoices[[Balance ]])</f>
        <v>86100</v>
      </c>
    </row>
    <row r="5" spans="1:2" x14ac:dyDescent="0.35">
      <c r="A5" s="28" t="s">
        <v>112</v>
      </c>
      <c r="B5" s="2">
        <f ca="1">COUNTIF(Invoices[[Status ]],"Overdue")</f>
        <v>4</v>
      </c>
    </row>
    <row r="6" spans="1:2" x14ac:dyDescent="0.35">
      <c r="A6" s="28" t="s">
        <v>113</v>
      </c>
      <c r="B6" s="2">
        <f ca="1">COUNTIF(Invoices[[Status ]],"Paid")</f>
        <v>20</v>
      </c>
    </row>
    <row r="7" spans="1:2" x14ac:dyDescent="0.35">
      <c r="A7" s="28" t="s">
        <v>114</v>
      </c>
      <c r="B7" s="2">
        <f ca="1">COUNTIF(Invoices[[Status ]],"Pending")</f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D01479821BC9459D9C9A8B3B7CD3CB" ma:contentTypeVersion="14" ma:contentTypeDescription="Create a new document." ma:contentTypeScope="" ma:versionID="14cc51f13ab1e1e8f89904bf60649532">
  <xsd:schema xmlns:xsd="http://www.w3.org/2001/XMLSchema" xmlns:xs="http://www.w3.org/2001/XMLSchema" xmlns:p="http://schemas.microsoft.com/office/2006/metadata/properties" xmlns:ns3="d3182e3d-2a91-4bb2-acca-dc515f70a75d" xmlns:ns4="cca131e5-0000-4f4b-ad8e-99d5d6c35847" targetNamespace="http://schemas.microsoft.com/office/2006/metadata/properties" ma:root="true" ma:fieldsID="10e2c1bb433ec9c60dfe404d96a7b45f" ns3:_="" ns4:_="">
    <xsd:import namespace="d3182e3d-2a91-4bb2-acca-dc515f70a75d"/>
    <xsd:import namespace="cca131e5-0000-4f4b-ad8e-99d5d6c3584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82e3d-2a91-4bb2-acca-dc515f70a75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131e5-0000-4f4b-ad8e-99d5d6c3584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182e3d-2a91-4bb2-acca-dc515f70a75d" xsi:nil="true"/>
  </documentManagement>
</p:properties>
</file>

<file path=customXml/itemProps1.xml><?xml version="1.0" encoding="utf-8"?>
<ds:datastoreItem xmlns:ds="http://schemas.openxmlformats.org/officeDocument/2006/customXml" ds:itemID="{17C5C440-9BE7-48FB-89AA-7D46E0583E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182e3d-2a91-4bb2-acca-dc515f70a75d"/>
    <ds:schemaRef ds:uri="cca131e5-0000-4f4b-ad8e-99d5d6c35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00D819-08F7-4351-9E80-0562277A52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EEE913-E167-4993-A6EC-1E627089E17D}">
  <ds:schemaRefs>
    <ds:schemaRef ds:uri="d3182e3d-2a91-4bb2-acca-dc515f70a75d"/>
    <ds:schemaRef ds:uri="http://schemas.microsoft.com/office/2006/documentManagement/types"/>
    <ds:schemaRef ds:uri="http://purl.org/dc/terms/"/>
    <ds:schemaRef ds:uri="cca131e5-0000-4f4b-ad8e-99d5d6c35847"/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</vt:lpstr>
      <vt:lpstr>Dashboard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KRUPALI PATEL</dc:creator>
  <cp:lastModifiedBy>Krupali Prafulbhai Patel</cp:lastModifiedBy>
  <dcterms:created xsi:type="dcterms:W3CDTF">2026-05-21T05:39:29Z</dcterms:created>
  <dcterms:modified xsi:type="dcterms:W3CDTF">2026-05-21T07:26:28Z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0x010100A3D01479821BC9459D9C9A8B3B7CD3CB</vt:lpwstr>
  </property>
</Properties>
</file>